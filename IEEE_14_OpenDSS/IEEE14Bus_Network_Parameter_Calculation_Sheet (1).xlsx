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biJ\Documents\OpenDSS\Telegram\MatPower\"/>
    </mc:Choice>
  </mc:AlternateContent>
  <bookViews>
    <workbookView xWindow="0" yWindow="0" windowWidth="19200" windowHeight="7665" firstSheet="1" activeTab="5"/>
  </bookViews>
  <sheets>
    <sheet name="Branch_Data" sheetId="1" r:id="rId1"/>
    <sheet name="Gen_Data" sheetId="2" r:id="rId2"/>
    <sheet name="Bus_Data" sheetId="3" r:id="rId3"/>
    <sheet name="Lines" sheetId="4" r:id="rId4"/>
    <sheet name="Generator" sheetId="5" r:id="rId5"/>
    <sheet name="Transformer" sheetId="6" r:id="rId6"/>
    <sheet name="Load" sheetId="7" r:id="rId7"/>
    <sheet name="Capacitor" sheetId="8" r:id="rId8"/>
  </sheets>
  <calcPr calcId="162913"/>
</workbook>
</file>

<file path=xl/calcChain.xml><?xml version="1.0" encoding="utf-8"?>
<calcChain xmlns="http://schemas.openxmlformats.org/spreadsheetml/2006/main">
  <c r="H2" i="4" l="1"/>
  <c r="I5" i="4"/>
  <c r="I6" i="4"/>
  <c r="O6" i="4" s="1"/>
  <c r="I7" i="4"/>
  <c r="I3" i="4"/>
  <c r="I10" i="4"/>
  <c r="H11" i="4"/>
  <c r="N11" i="4" s="1"/>
  <c r="I14" i="4"/>
  <c r="O14" i="4" s="1"/>
  <c r="I15" i="4"/>
  <c r="I18" i="4"/>
  <c r="I19" i="4"/>
  <c r="I4" i="4"/>
  <c r="I8" i="4"/>
  <c r="I9" i="4"/>
  <c r="I12" i="4"/>
  <c r="I13" i="4"/>
  <c r="I16" i="4"/>
  <c r="I17" i="4"/>
  <c r="I20" i="4"/>
  <c r="I21" i="4"/>
  <c r="H4" i="4"/>
  <c r="N4" i="4" s="1"/>
  <c r="H5" i="4"/>
  <c r="N5" i="4" s="1"/>
  <c r="H8" i="4"/>
  <c r="H9" i="4"/>
  <c r="H12" i="4"/>
  <c r="H13" i="4"/>
  <c r="H16" i="4"/>
  <c r="H17" i="4"/>
  <c r="H20" i="4"/>
  <c r="N20" i="4" s="1"/>
  <c r="H21" i="4"/>
  <c r="G4" i="4"/>
  <c r="G8" i="4"/>
  <c r="M8" i="4" s="1"/>
  <c r="G9" i="4"/>
  <c r="G12" i="4"/>
  <c r="G13" i="4"/>
  <c r="G16" i="4"/>
  <c r="M16" i="4" s="1"/>
  <c r="G17" i="4"/>
  <c r="M17" i="4" s="1"/>
  <c r="G20" i="4"/>
  <c r="G21" i="4"/>
  <c r="M9" i="4"/>
  <c r="N13" i="4"/>
  <c r="J3" i="4"/>
  <c r="K3" i="4"/>
  <c r="L3" i="4"/>
  <c r="J4" i="4"/>
  <c r="K4" i="4"/>
  <c r="L4" i="4"/>
  <c r="J5" i="4"/>
  <c r="K5" i="4"/>
  <c r="L5" i="4"/>
  <c r="J6" i="4"/>
  <c r="K6" i="4"/>
  <c r="L6" i="4"/>
  <c r="J7" i="4"/>
  <c r="K7" i="4"/>
  <c r="L7" i="4"/>
  <c r="J8" i="4"/>
  <c r="K8" i="4"/>
  <c r="L8" i="4"/>
  <c r="J9" i="4"/>
  <c r="K9" i="4"/>
  <c r="L9" i="4"/>
  <c r="J10" i="4"/>
  <c r="K10" i="4"/>
  <c r="L10" i="4"/>
  <c r="J11" i="4"/>
  <c r="K11" i="4"/>
  <c r="L11" i="4"/>
  <c r="J12" i="4"/>
  <c r="K12" i="4"/>
  <c r="L12" i="4"/>
  <c r="J13" i="4"/>
  <c r="K13" i="4"/>
  <c r="L13" i="4"/>
  <c r="J14" i="4"/>
  <c r="K14" i="4"/>
  <c r="L14" i="4"/>
  <c r="J15" i="4"/>
  <c r="K15" i="4"/>
  <c r="L15" i="4"/>
  <c r="J16" i="4"/>
  <c r="K16" i="4"/>
  <c r="L16" i="4"/>
  <c r="J17" i="4"/>
  <c r="K17" i="4"/>
  <c r="L17" i="4"/>
  <c r="J18" i="4"/>
  <c r="K18" i="4"/>
  <c r="L18" i="4"/>
  <c r="J19" i="4"/>
  <c r="K19" i="4"/>
  <c r="L19" i="4"/>
  <c r="J20" i="4"/>
  <c r="K20" i="4"/>
  <c r="L20" i="4"/>
  <c r="J21" i="4"/>
  <c r="K21" i="4"/>
  <c r="L21" i="4"/>
  <c r="N21" i="4"/>
  <c r="N12" i="4"/>
  <c r="G5" i="4" l="1"/>
  <c r="G2" i="4"/>
  <c r="I2" i="4"/>
  <c r="G15" i="4"/>
  <c r="M15" i="4" s="1"/>
  <c r="G7" i="4"/>
  <c r="M7" i="4" s="1"/>
  <c r="G3" i="4"/>
  <c r="M3" i="4" s="1"/>
  <c r="H15" i="4"/>
  <c r="N15" i="4" s="1"/>
  <c r="H7" i="4"/>
  <c r="N7" i="4" s="1"/>
  <c r="H3" i="4"/>
  <c r="N3" i="4" s="1"/>
  <c r="I11" i="4"/>
  <c r="G18" i="4"/>
  <c r="M18" i="4" s="1"/>
  <c r="G14" i="4"/>
  <c r="G10" i="4"/>
  <c r="M10" i="4" s="1"/>
  <c r="G6" i="4"/>
  <c r="H18" i="4"/>
  <c r="H14" i="4"/>
  <c r="H10" i="4"/>
  <c r="H6" i="4"/>
  <c r="N6" i="4" s="1"/>
  <c r="G19" i="4"/>
  <c r="M19" i="4" s="1"/>
  <c r="G11" i="4"/>
  <c r="H19" i="4"/>
  <c r="N19" i="4" s="1"/>
  <c r="O8" i="4"/>
  <c r="O7" i="4"/>
  <c r="M21" i="4"/>
  <c r="M12" i="4"/>
  <c r="M11" i="4"/>
  <c r="O16" i="4"/>
  <c r="O15" i="4"/>
  <c r="N14" i="4"/>
  <c r="M4" i="4"/>
  <c r="O18" i="4"/>
  <c r="N17" i="4"/>
  <c r="N16" i="4"/>
  <c r="M14" i="4"/>
  <c r="O10" i="4"/>
  <c r="N9" i="4"/>
  <c r="N8" i="4"/>
  <c r="M6" i="4"/>
  <c r="M20" i="4"/>
  <c r="O17" i="4"/>
  <c r="M13" i="4"/>
  <c r="O9" i="4"/>
  <c r="O21" i="4"/>
  <c r="O20" i="4"/>
  <c r="O19" i="4"/>
  <c r="N18" i="4"/>
  <c r="O13" i="4"/>
  <c r="O12" i="4"/>
  <c r="O11" i="4"/>
  <c r="N10" i="4"/>
  <c r="O5" i="4"/>
  <c r="O4" i="4"/>
  <c r="O3" i="4"/>
  <c r="M5" i="4"/>
  <c r="D2" i="8" l="1"/>
  <c r="G2" i="8"/>
  <c r="F2" i="8"/>
  <c r="E2" i="8"/>
  <c r="J3" i="7"/>
  <c r="K3" i="7"/>
  <c r="J4" i="7"/>
  <c r="K4" i="7"/>
  <c r="J5" i="7"/>
  <c r="K5" i="7"/>
  <c r="J6" i="7"/>
  <c r="K6" i="7"/>
  <c r="J7" i="7"/>
  <c r="K7" i="7"/>
  <c r="J8" i="7"/>
  <c r="K8" i="7"/>
  <c r="J9" i="7"/>
  <c r="K9" i="7"/>
  <c r="J10" i="7"/>
  <c r="K10" i="7"/>
  <c r="J11" i="7"/>
  <c r="K11" i="7"/>
  <c r="J12" i="7"/>
  <c r="K12" i="7"/>
  <c r="K2" i="7"/>
  <c r="J2" i="7"/>
  <c r="G3" i="7"/>
  <c r="H3" i="7"/>
  <c r="I3" i="7"/>
  <c r="L3" i="7"/>
  <c r="M3" i="7"/>
  <c r="G4" i="7"/>
  <c r="H4" i="7"/>
  <c r="I4" i="7"/>
  <c r="L4" i="7"/>
  <c r="M4" i="7"/>
  <c r="G5" i="7"/>
  <c r="H5" i="7"/>
  <c r="I5" i="7"/>
  <c r="L5" i="7"/>
  <c r="M5" i="7"/>
  <c r="G6" i="7"/>
  <c r="H6" i="7"/>
  <c r="I6" i="7"/>
  <c r="L6" i="7"/>
  <c r="M6" i="7"/>
  <c r="G7" i="7"/>
  <c r="H7" i="7"/>
  <c r="I7" i="7"/>
  <c r="L7" i="7"/>
  <c r="M7" i="7"/>
  <c r="G8" i="7"/>
  <c r="H8" i="7"/>
  <c r="I8" i="7"/>
  <c r="L8" i="7"/>
  <c r="M8" i="7"/>
  <c r="G9" i="7"/>
  <c r="H9" i="7"/>
  <c r="I9" i="7"/>
  <c r="L9" i="7"/>
  <c r="M9" i="7"/>
  <c r="G10" i="7"/>
  <c r="H10" i="7"/>
  <c r="I10" i="7"/>
  <c r="L10" i="7"/>
  <c r="M10" i="7"/>
  <c r="G11" i="7"/>
  <c r="H11" i="7"/>
  <c r="I11" i="7"/>
  <c r="L11" i="7"/>
  <c r="M11" i="7"/>
  <c r="G12" i="7"/>
  <c r="H12" i="7"/>
  <c r="I12" i="7"/>
  <c r="L12" i="7"/>
  <c r="M12" i="7"/>
  <c r="M2" i="7"/>
  <c r="L2" i="7"/>
  <c r="I2" i="7"/>
  <c r="H2" i="7"/>
  <c r="G2" i="7"/>
  <c r="C6" i="5"/>
  <c r="C5" i="5"/>
  <c r="C4" i="5"/>
  <c r="K3" i="6"/>
  <c r="K4" i="6"/>
  <c r="K2" i="6"/>
  <c r="U4" i="6" l="1"/>
  <c r="Q4" i="6"/>
  <c r="P4" i="6"/>
  <c r="I4" i="6"/>
  <c r="T4" i="6"/>
  <c r="O4" i="6"/>
  <c r="U3" i="6"/>
  <c r="Q3" i="6"/>
  <c r="P3" i="6"/>
  <c r="I3" i="6"/>
  <c r="T3" i="6"/>
  <c r="O3" i="6"/>
  <c r="U2" i="6"/>
  <c r="T2" i="6"/>
  <c r="Q2" i="6"/>
  <c r="P2" i="6"/>
  <c r="I2" i="6"/>
  <c r="O2" i="6"/>
  <c r="Q6" i="5"/>
  <c r="O6" i="5"/>
  <c r="N6" i="5"/>
  <c r="M6" i="5"/>
  <c r="K6" i="5"/>
  <c r="I6" i="5"/>
  <c r="H6" i="5"/>
  <c r="J6" i="5"/>
  <c r="Q5" i="5"/>
  <c r="O5" i="5"/>
  <c r="N5" i="5"/>
  <c r="M5" i="5"/>
  <c r="K5" i="5"/>
  <c r="I5" i="5"/>
  <c r="H5" i="5"/>
  <c r="J5" i="5"/>
  <c r="Q4" i="5"/>
  <c r="O4" i="5"/>
  <c r="N4" i="5"/>
  <c r="M4" i="5"/>
  <c r="K4" i="5"/>
  <c r="J4" i="5"/>
  <c r="I4" i="5"/>
  <c r="H4" i="5"/>
  <c r="Q3" i="5"/>
  <c r="O3" i="5"/>
  <c r="N3" i="5"/>
  <c r="M3" i="5"/>
  <c r="K3" i="5"/>
  <c r="I3" i="5"/>
  <c r="H3" i="5"/>
  <c r="J3" i="5"/>
  <c r="Q2" i="5"/>
  <c r="O2" i="5"/>
  <c r="N2" i="5"/>
  <c r="M2" i="5"/>
  <c r="K2" i="5"/>
  <c r="I2" i="5"/>
  <c r="H2" i="5"/>
  <c r="J2" i="5"/>
  <c r="O2" i="4"/>
  <c r="N2" i="4"/>
  <c r="M2" i="4"/>
  <c r="L2" i="4"/>
  <c r="K2" i="4"/>
  <c r="J2" i="4"/>
</calcChain>
</file>

<file path=xl/sharedStrings.xml><?xml version="1.0" encoding="utf-8"?>
<sst xmlns="http://schemas.openxmlformats.org/spreadsheetml/2006/main" count="160" uniqueCount="89">
  <si>
    <t xml:space="preserve">F BUS </t>
  </si>
  <si>
    <t xml:space="preserve">T BUS </t>
  </si>
  <si>
    <t xml:space="preserve">BR R </t>
  </si>
  <si>
    <t xml:space="preserve">BR X </t>
  </si>
  <si>
    <t>BR B</t>
  </si>
  <si>
    <t>RATE A</t>
  </si>
  <si>
    <t>RATE B</t>
  </si>
  <si>
    <t>RATE C</t>
  </si>
  <si>
    <t>TAP</t>
  </si>
  <si>
    <t>SHIFT</t>
  </si>
  <si>
    <t>BR STATUS</t>
  </si>
  <si>
    <t>ANGMIN</t>
  </si>
  <si>
    <t>ANGMAX</t>
  </si>
  <si>
    <t>PF</t>
  </si>
  <si>
    <t>QF</t>
  </si>
  <si>
    <t>PT</t>
  </si>
  <si>
    <t>QT</t>
  </si>
  <si>
    <t>Gen Bus</t>
  </si>
  <si>
    <t>PG</t>
  </si>
  <si>
    <t>QG</t>
  </si>
  <si>
    <t>QMAX</t>
  </si>
  <si>
    <t>QMIN</t>
  </si>
  <si>
    <t>VG</t>
  </si>
  <si>
    <t>MBASE</t>
  </si>
  <si>
    <t>GEN STATUS</t>
  </si>
  <si>
    <t>PMAX</t>
  </si>
  <si>
    <t>PMIN</t>
  </si>
  <si>
    <t>PC1</t>
  </si>
  <si>
    <t>PC2</t>
  </si>
  <si>
    <t>QC1MIN</t>
  </si>
  <si>
    <t>QC1MAX</t>
  </si>
  <si>
    <t>QC2MIN</t>
  </si>
  <si>
    <t>QC2MAX</t>
  </si>
  <si>
    <t>RAMP AGC</t>
  </si>
  <si>
    <t>RAMP 10</t>
  </si>
  <si>
    <t>RAMP 30</t>
  </si>
  <si>
    <t>RAMP Q</t>
  </si>
  <si>
    <t>APF</t>
  </si>
  <si>
    <t>'Bus 1     HV'</t>
  </si>
  <si>
    <t>'Bus 2     HV'</t>
  </si>
  <si>
    <t>'Bus 3     HV'</t>
  </si>
  <si>
    <t>'Bus 4     HV'</t>
  </si>
  <si>
    <t>'Bus 5     HV'</t>
  </si>
  <si>
    <t>'Bus 6     LV'</t>
  </si>
  <si>
    <t>'Bus 7     ZV'</t>
  </si>
  <si>
    <t>'Bus 8     TV'</t>
  </si>
  <si>
    <t>'Bus 9     LV'</t>
  </si>
  <si>
    <t>'Bus 10    LV'</t>
  </si>
  <si>
    <t>'Bus 11    LV'</t>
  </si>
  <si>
    <t>'Bus 12    LV'</t>
  </si>
  <si>
    <t>'Bus 13    LV'</t>
  </si>
  <si>
    <t>'Bus 14    LV'</t>
  </si>
  <si>
    <t>BUS NO</t>
  </si>
  <si>
    <t>TYPE</t>
  </si>
  <si>
    <t>PD</t>
  </si>
  <si>
    <t>QD</t>
  </si>
  <si>
    <t>GS</t>
  </si>
  <si>
    <t>BS</t>
  </si>
  <si>
    <t>AREA</t>
  </si>
  <si>
    <t>VM</t>
  </si>
  <si>
    <t>VA</t>
  </si>
  <si>
    <t>BASE KV</t>
  </si>
  <si>
    <t>ZONE</t>
  </si>
  <si>
    <t>VMAX</t>
  </si>
  <si>
    <t>VMIN</t>
  </si>
  <si>
    <t>BUS NAME</t>
  </si>
  <si>
    <t>1 = PQ, 2 = PV, 3 = ref, 4 = isolated</t>
  </si>
  <si>
    <t>R Act</t>
  </si>
  <si>
    <t>X Act</t>
  </si>
  <si>
    <t>B Act</t>
  </si>
  <si>
    <t>Length=1</t>
  </si>
  <si>
    <t>kV</t>
  </si>
  <si>
    <t>Model=3</t>
  </si>
  <si>
    <t>!</t>
  </si>
  <si>
    <t>KVF</t>
  </si>
  <si>
    <t>KVT</t>
  </si>
  <si>
    <t>kVAs=[100000 100000]</t>
  </si>
  <si>
    <t>PPM=0</t>
  </si>
  <si>
    <t>Wdg=1</t>
  </si>
  <si>
    <t>R=0</t>
  </si>
  <si>
    <t>Wdg=2</t>
  </si>
  <si>
    <t>%loadloss=0</t>
  </si>
  <si>
    <t>Bus 1</t>
  </si>
  <si>
    <t>kW</t>
  </si>
  <si>
    <t>kVAR</t>
  </si>
  <si>
    <t>Vminpu</t>
  </si>
  <si>
    <t>Vmaxpu</t>
  </si>
  <si>
    <t>Data Extracted from Matpower V7.1</t>
  </si>
  <si>
    <t>Bus L-L kV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</si>
</sst>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0"/>
    <numFmt numFmtId="165" formatCode="0.00000000"/>
  </numFmts>
  <fonts count="4">
    <font>
      <sz val="11"/>
      <name val="Calibri"/>
    </font>
    <font>
      <sz val="10"/>
      <color rgb="FF000000"/>
      <name val="CMTT10"/>
    </font>
    <font>
      <sz val="10"/>
      <color rgb="FF000000"/>
      <name val="CMR10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165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/>
    <xf numFmtId="0" fontId="0" fillId="0" borderId="2" xfId="0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workbookViewId="0">
      <selection activeCell="F27" sqref="F27"/>
    </sheetView>
  </sheetViews>
  <sheetFormatPr defaultRowHeight="15"/>
  <cols>
    <col min="1" max="1" width="7.140625" customWidth="1"/>
    <col min="2" max="2" width="7" customWidth="1"/>
    <col min="3" max="5" width="8.5703125" bestFit="1" customWidth="1"/>
    <col min="6" max="8" width="7.7109375" customWidth="1"/>
    <col min="9" max="9" width="6" bestFit="1" customWidth="1"/>
    <col min="10" max="10" width="6.140625" customWidth="1"/>
    <col min="11" max="11" width="11.28515625" customWidth="1"/>
    <col min="12" max="12" width="8.28515625" customWidth="1"/>
    <col min="13" max="13" width="8.85546875" customWidth="1"/>
    <col min="14" max="17" width="12.7109375" bestFit="1" customWidth="1"/>
  </cols>
  <sheetData>
    <row r="1" spans="1:17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4">
        <v>1</v>
      </c>
      <c r="B2" s="4">
        <v>2</v>
      </c>
      <c r="C2" s="7">
        <v>1.9380000000000001E-2</v>
      </c>
      <c r="D2" s="7">
        <v>5.917E-2</v>
      </c>
      <c r="E2" s="7">
        <v>5.28E-2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1</v>
      </c>
      <c r="L2" s="4">
        <v>-360</v>
      </c>
      <c r="M2" s="4">
        <v>360</v>
      </c>
      <c r="N2" s="4">
        <v>156.88289052896999</v>
      </c>
      <c r="O2" s="4">
        <v>-20.40429168344577</v>
      </c>
      <c r="P2" s="4">
        <v>-152.58529019294963</v>
      </c>
      <c r="Q2" s="4">
        <v>27.676249726909457</v>
      </c>
    </row>
    <row r="3" spans="1:17">
      <c r="A3" s="4">
        <v>1</v>
      </c>
      <c r="B3" s="4">
        <v>5</v>
      </c>
      <c r="C3" s="7">
        <v>5.4030000000000002E-2</v>
      </c>
      <c r="D3" s="7">
        <v>0.22303999999999999</v>
      </c>
      <c r="E3" s="7">
        <v>4.9200000000000001E-2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1</v>
      </c>
      <c r="L3" s="4">
        <v>-360</v>
      </c>
      <c r="M3" s="4">
        <v>360</v>
      </c>
      <c r="N3" s="4">
        <v>75.510381824287663</v>
      </c>
      <c r="O3" s="4">
        <v>3.8549911413579587</v>
      </c>
      <c r="P3" s="4">
        <v>-72.747509231771218</v>
      </c>
      <c r="Q3" s="4">
        <v>2.2293587103769719</v>
      </c>
    </row>
    <row r="4" spans="1:17">
      <c r="A4" s="4">
        <v>2</v>
      </c>
      <c r="B4" s="4">
        <v>3</v>
      </c>
      <c r="C4" s="7">
        <v>4.6989999999999997E-2</v>
      </c>
      <c r="D4" s="7">
        <v>0.19797000000000001</v>
      </c>
      <c r="E4" s="7">
        <v>4.3799999999999999E-2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1</v>
      </c>
      <c r="L4" s="4">
        <v>-360</v>
      </c>
      <c r="M4" s="4">
        <v>360</v>
      </c>
      <c r="N4" s="4">
        <v>73.237579237275654</v>
      </c>
      <c r="O4" s="4">
        <v>3.5602029508563211</v>
      </c>
      <c r="P4" s="4">
        <v>-70.914309903100403</v>
      </c>
      <c r="Q4" s="4">
        <v>1.6022328732377051</v>
      </c>
    </row>
    <row r="5" spans="1:17">
      <c r="A5" s="4">
        <v>2</v>
      </c>
      <c r="B5" s="4">
        <v>4</v>
      </c>
      <c r="C5" s="7">
        <v>5.8110000000000002E-2</v>
      </c>
      <c r="D5" s="7">
        <v>0.17632</v>
      </c>
      <c r="E5" s="7">
        <v>3.4000000000000002E-2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</v>
      </c>
      <c r="L5" s="4">
        <v>-360</v>
      </c>
      <c r="M5" s="4">
        <v>360</v>
      </c>
      <c r="N5" s="4">
        <v>56.131495938735867</v>
      </c>
      <c r="O5" s="4">
        <v>-1.5503504013530998</v>
      </c>
      <c r="P5" s="4">
        <v>-54.454838106704919</v>
      </c>
      <c r="Q5" s="4">
        <v>3.0206874669791621</v>
      </c>
    </row>
    <row r="6" spans="1:17">
      <c r="A6" s="4">
        <v>2</v>
      </c>
      <c r="B6" s="4">
        <v>5</v>
      </c>
      <c r="C6" s="7">
        <v>5.6950000000000001E-2</v>
      </c>
      <c r="D6" s="7">
        <v>0.17388000000000001</v>
      </c>
      <c r="E6" s="7">
        <v>3.4599999999999999E-2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1</v>
      </c>
      <c r="L6" s="4">
        <v>-360</v>
      </c>
      <c r="M6" s="4">
        <v>360</v>
      </c>
      <c r="N6" s="4">
        <v>41.516215017204409</v>
      </c>
      <c r="O6" s="4">
        <v>1.170997857115591</v>
      </c>
      <c r="P6" s="4">
        <v>-40.612461664096884</v>
      </c>
      <c r="Q6" s="4">
        <v>-2.0990339663448818</v>
      </c>
    </row>
    <row r="7" spans="1:17">
      <c r="A7" s="4">
        <v>3</v>
      </c>
      <c r="B7" s="4">
        <v>4</v>
      </c>
      <c r="C7" s="7">
        <v>6.701E-2</v>
      </c>
      <c r="D7" s="7">
        <v>0.17102999999999999</v>
      </c>
      <c r="E7" s="7">
        <v>1.2800000000000001E-2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</v>
      </c>
      <c r="L7" s="4">
        <v>-360</v>
      </c>
      <c r="M7" s="4">
        <v>360</v>
      </c>
      <c r="N7" s="4">
        <v>-23.285690095806007</v>
      </c>
      <c r="O7" s="4">
        <v>4.4731156221720703</v>
      </c>
      <c r="P7" s="4">
        <v>23.659135052399154</v>
      </c>
      <c r="Q7" s="4">
        <v>-4.8356524969859027</v>
      </c>
    </row>
    <row r="8" spans="1:17">
      <c r="A8" s="4">
        <v>4</v>
      </c>
      <c r="B8" s="4">
        <v>5</v>
      </c>
      <c r="C8" s="7">
        <v>1.3350000000000001E-2</v>
      </c>
      <c r="D8" s="7">
        <v>4.2110000000000002E-2</v>
      </c>
      <c r="E8" s="7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</v>
      </c>
      <c r="L8" s="4">
        <v>-360</v>
      </c>
      <c r="M8" s="4">
        <v>360</v>
      </c>
      <c r="N8" s="4">
        <v>-61.158230445132766</v>
      </c>
      <c r="O8" s="4">
        <v>15.823641939663338</v>
      </c>
      <c r="P8" s="4">
        <v>61.67265003839362</v>
      </c>
      <c r="Q8" s="4">
        <v>-14.201004555976848</v>
      </c>
    </row>
    <row r="9" spans="1:17">
      <c r="A9" s="4">
        <v>4</v>
      </c>
      <c r="B9" s="4">
        <v>7</v>
      </c>
      <c r="C9" s="7">
        <v>0</v>
      </c>
      <c r="D9" s="7">
        <v>0.20912</v>
      </c>
      <c r="E9" s="7">
        <v>0</v>
      </c>
      <c r="F9" s="4">
        <v>0</v>
      </c>
      <c r="G9" s="4">
        <v>0</v>
      </c>
      <c r="H9" s="4">
        <v>0</v>
      </c>
      <c r="I9" s="4">
        <v>0.97799999999999998</v>
      </c>
      <c r="J9" s="4">
        <v>0</v>
      </c>
      <c r="K9" s="4">
        <v>1</v>
      </c>
      <c r="L9" s="4">
        <v>-360</v>
      </c>
      <c r="M9" s="4">
        <v>360</v>
      </c>
      <c r="N9" s="4">
        <v>28.074175915785393</v>
      </c>
      <c r="O9" s="4">
        <v>-9.6810657149416244</v>
      </c>
      <c r="P9" s="4">
        <v>-28.07417591578541</v>
      </c>
      <c r="Q9" s="4">
        <v>11.384279940651028</v>
      </c>
    </row>
    <row r="10" spans="1:17">
      <c r="A10" s="4">
        <v>4</v>
      </c>
      <c r="B10" s="4">
        <v>9</v>
      </c>
      <c r="C10" s="7">
        <v>0</v>
      </c>
      <c r="D10" s="7">
        <v>0.55618000000000001</v>
      </c>
      <c r="E10" s="7">
        <v>0</v>
      </c>
      <c r="F10" s="4">
        <v>0</v>
      </c>
      <c r="G10" s="4">
        <v>0</v>
      </c>
      <c r="H10" s="4">
        <v>0</v>
      </c>
      <c r="I10" s="4">
        <v>0.96899999999999997</v>
      </c>
      <c r="J10" s="4">
        <v>0</v>
      </c>
      <c r="K10" s="4">
        <v>1</v>
      </c>
      <c r="L10" s="4">
        <v>-360</v>
      </c>
      <c r="M10" s="4">
        <v>360</v>
      </c>
      <c r="N10" s="4">
        <v>16.079757582904335</v>
      </c>
      <c r="O10" s="4">
        <v>-0.42761118155816225</v>
      </c>
      <c r="P10" s="4">
        <v>-16.079757582904332</v>
      </c>
      <c r="Q10" s="4">
        <v>1.7323220059408173</v>
      </c>
    </row>
    <row r="11" spans="1:17">
      <c r="A11" s="4">
        <v>5</v>
      </c>
      <c r="B11" s="4">
        <v>6</v>
      </c>
      <c r="C11" s="7">
        <v>0</v>
      </c>
      <c r="D11" s="7">
        <v>0.25202000000000002</v>
      </c>
      <c r="E11" s="7">
        <v>0</v>
      </c>
      <c r="F11" s="4">
        <v>0</v>
      </c>
      <c r="G11" s="4">
        <v>0</v>
      </c>
      <c r="H11" s="4">
        <v>0</v>
      </c>
      <c r="I11" s="4">
        <v>0.93200000000000005</v>
      </c>
      <c r="J11" s="4">
        <v>0</v>
      </c>
      <c r="K11" s="4">
        <v>1</v>
      </c>
      <c r="L11" s="4">
        <v>-360</v>
      </c>
      <c r="M11" s="4">
        <v>360</v>
      </c>
      <c r="N11" s="4">
        <v>44.087320859486098</v>
      </c>
      <c r="O11" s="4">
        <v>12.470679810981421</v>
      </c>
      <c r="P11" s="4">
        <v>-44.087320859486141</v>
      </c>
      <c r="Q11" s="4">
        <v>-8.0495181911149736</v>
      </c>
    </row>
    <row r="12" spans="1:17">
      <c r="A12" s="4">
        <v>6</v>
      </c>
      <c r="B12" s="4">
        <v>11</v>
      </c>
      <c r="C12" s="7">
        <v>9.4979999999999995E-2</v>
      </c>
      <c r="D12" s="7">
        <v>0.19889999999999999</v>
      </c>
      <c r="E12" s="7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1</v>
      </c>
      <c r="L12" s="4">
        <v>-360</v>
      </c>
      <c r="M12" s="4">
        <v>360</v>
      </c>
      <c r="N12" s="4">
        <v>7.3532769825655597</v>
      </c>
      <c r="O12" s="4">
        <v>3.560472970533894</v>
      </c>
      <c r="P12" s="4">
        <v>-7.2979036590277939</v>
      </c>
      <c r="Q12" s="4">
        <v>-3.4445143050078717</v>
      </c>
    </row>
    <row r="13" spans="1:17">
      <c r="A13" s="4">
        <v>6</v>
      </c>
      <c r="B13" s="4">
        <v>12</v>
      </c>
      <c r="C13" s="7">
        <v>0.12291000000000001</v>
      </c>
      <c r="D13" s="7">
        <v>0.25580999999999998</v>
      </c>
      <c r="E13" s="7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1</v>
      </c>
      <c r="L13" s="4">
        <v>-360</v>
      </c>
      <c r="M13" s="4">
        <v>360</v>
      </c>
      <c r="N13" s="4">
        <v>7.7860670152655773</v>
      </c>
      <c r="O13" s="4">
        <v>2.5034142369310928</v>
      </c>
      <c r="P13" s="4">
        <v>-7.7142577711119191</v>
      </c>
      <c r="Q13" s="4">
        <v>-2.3539591661724355</v>
      </c>
    </row>
    <row r="14" spans="1:17">
      <c r="A14" s="4">
        <v>6</v>
      </c>
      <c r="B14" s="4">
        <v>13</v>
      </c>
      <c r="C14" s="7">
        <v>6.615E-2</v>
      </c>
      <c r="D14" s="7">
        <v>0.13027</v>
      </c>
      <c r="E14" s="7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1</v>
      </c>
      <c r="L14" s="4">
        <v>-360</v>
      </c>
      <c r="M14" s="4">
        <v>360</v>
      </c>
      <c r="N14" s="4">
        <v>17.747976862047555</v>
      </c>
      <c r="O14" s="4">
        <v>7.2165753882510728</v>
      </c>
      <c r="P14" s="4">
        <v>-17.53589146693497</v>
      </c>
      <c r="Q14" s="4">
        <v>-6.798913038722473</v>
      </c>
    </row>
    <row r="15" spans="1:17">
      <c r="A15" s="4">
        <v>7</v>
      </c>
      <c r="B15" s="4">
        <v>8</v>
      </c>
      <c r="C15" s="7">
        <v>0</v>
      </c>
      <c r="D15" s="7">
        <v>0.17615</v>
      </c>
      <c r="E15" s="7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1</v>
      </c>
      <c r="L15" s="4">
        <v>-360</v>
      </c>
      <c r="M15" s="4">
        <v>360</v>
      </c>
      <c r="N15" s="4">
        <v>-5.7035626221946245E-11</v>
      </c>
      <c r="O15" s="4">
        <v>-17.162970509527344</v>
      </c>
      <c r="P15" s="4">
        <v>5.7035626221946245E-11</v>
      </c>
      <c r="Q15" s="4">
        <v>17.623451366399202</v>
      </c>
    </row>
    <row r="16" spans="1:17">
      <c r="A16" s="4">
        <v>7</v>
      </c>
      <c r="B16" s="4">
        <v>9</v>
      </c>
      <c r="C16" s="7">
        <v>0</v>
      </c>
      <c r="D16" s="7">
        <v>0.11001</v>
      </c>
      <c r="E16" s="7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1</v>
      </c>
      <c r="L16" s="4">
        <v>-360</v>
      </c>
      <c r="M16" s="4">
        <v>360</v>
      </c>
      <c r="N16" s="4">
        <v>28.074175916079032</v>
      </c>
      <c r="O16" s="4">
        <v>5.7786905690419443</v>
      </c>
      <c r="P16" s="4">
        <v>-28.074175916079032</v>
      </c>
      <c r="Q16" s="4">
        <v>-4.9766218685007164</v>
      </c>
    </row>
    <row r="17" spans="1:17">
      <c r="A17" s="4">
        <v>9</v>
      </c>
      <c r="B17" s="4">
        <v>10</v>
      </c>
      <c r="C17" s="7">
        <v>3.1809999999999998E-2</v>
      </c>
      <c r="D17" s="7">
        <v>8.4500000000000006E-2</v>
      </c>
      <c r="E17" s="7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1</v>
      </c>
      <c r="L17" s="4">
        <v>-360</v>
      </c>
      <c r="M17" s="4">
        <v>360</v>
      </c>
      <c r="N17" s="4">
        <v>5.2275524695516067</v>
      </c>
      <c r="O17" s="4">
        <v>4.2191377984991272</v>
      </c>
      <c r="P17" s="4">
        <v>-5.2146776186781612</v>
      </c>
      <c r="Q17" s="4">
        <v>-4.1849370786372528</v>
      </c>
    </row>
    <row r="18" spans="1:17">
      <c r="A18" s="4">
        <v>9</v>
      </c>
      <c r="B18" s="4">
        <v>14</v>
      </c>
      <c r="C18" s="7">
        <v>0.12711</v>
      </c>
      <c r="D18" s="7">
        <v>0.27038000000000001</v>
      </c>
      <c r="E18" s="7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1</v>
      </c>
      <c r="L18" s="4">
        <v>-360</v>
      </c>
      <c r="M18" s="4">
        <v>360</v>
      </c>
      <c r="N18" s="4">
        <v>9.4263810299830695</v>
      </c>
      <c r="O18" s="4">
        <v>3.6100062385065748</v>
      </c>
      <c r="P18" s="4">
        <v>-9.3102269386398433</v>
      </c>
      <c r="Q18" s="4">
        <v>-3.3629309240751222</v>
      </c>
    </row>
    <row r="19" spans="1:17">
      <c r="A19" s="4">
        <v>10</v>
      </c>
      <c r="B19" s="4">
        <v>11</v>
      </c>
      <c r="C19" s="7">
        <v>8.2049999999999998E-2</v>
      </c>
      <c r="D19" s="7">
        <v>0.19206999999999999</v>
      </c>
      <c r="E19" s="7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1</v>
      </c>
      <c r="L19" s="4">
        <v>-360</v>
      </c>
      <c r="M19" s="4">
        <v>360</v>
      </c>
      <c r="N19" s="4">
        <v>-3.7853223812853853</v>
      </c>
      <c r="O19" s="4">
        <v>-1.6150629213622176</v>
      </c>
      <c r="P19" s="4">
        <v>3.7979036590864337</v>
      </c>
      <c r="Q19" s="4">
        <v>1.6445143049971662</v>
      </c>
    </row>
    <row r="20" spans="1:17">
      <c r="A20" s="4">
        <v>12</v>
      </c>
      <c r="B20" s="4">
        <v>13</v>
      </c>
      <c r="C20" s="7">
        <v>0.22092000000000001</v>
      </c>
      <c r="D20" s="7">
        <v>0.19988</v>
      </c>
      <c r="E20" s="7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1</v>
      </c>
      <c r="L20" s="4">
        <v>-360</v>
      </c>
      <c r="M20" s="4">
        <v>360</v>
      </c>
      <c r="N20" s="4">
        <v>1.6142577711057322</v>
      </c>
      <c r="O20" s="4">
        <v>0.75395916618096692</v>
      </c>
      <c r="P20" s="4">
        <v>-1.6079595127871957</v>
      </c>
      <c r="Q20" s="4">
        <v>-0.7482607419880053</v>
      </c>
    </row>
    <row r="21" spans="1:17">
      <c r="A21" s="4">
        <v>13</v>
      </c>
      <c r="B21" s="4">
        <v>14</v>
      </c>
      <c r="C21" s="7">
        <v>0.17093</v>
      </c>
      <c r="D21" s="7">
        <v>0.34802</v>
      </c>
      <c r="E21" s="7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1</v>
      </c>
      <c r="L21" s="4">
        <v>-360</v>
      </c>
      <c r="M21" s="4">
        <v>360</v>
      </c>
      <c r="N21" s="4">
        <v>5.6438509798328598</v>
      </c>
      <c r="O21" s="4">
        <v>1.7471737807590919</v>
      </c>
      <c r="P21" s="4">
        <v>-5.5897730612458467</v>
      </c>
      <c r="Q21" s="4">
        <v>-1.6370690757532294</v>
      </c>
    </row>
    <row r="23" spans="1:17">
      <c r="A23" t="s">
        <v>87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A8" sqref="A8"/>
    </sheetView>
  </sheetViews>
  <sheetFormatPr defaultRowHeight="15"/>
  <cols>
    <col min="1" max="1" width="8.140625" bestFit="1" customWidth="1"/>
    <col min="2" max="2" width="12" bestFit="1" customWidth="1"/>
    <col min="3" max="3" width="12.7109375" bestFit="1" customWidth="1"/>
    <col min="4" max="4" width="6.5703125" bestFit="1" customWidth="1"/>
    <col min="5" max="5" width="6.140625" bestFit="1" customWidth="1"/>
    <col min="6" max="6" width="6" bestFit="1" customWidth="1"/>
    <col min="7" max="7" width="7.140625" bestFit="1" customWidth="1"/>
    <col min="8" max="8" width="11.7109375" bestFit="1" customWidth="1"/>
    <col min="9" max="9" width="6.28515625" bestFit="1" customWidth="1"/>
    <col min="10" max="10" width="5.85546875" bestFit="1" customWidth="1"/>
    <col min="11" max="12" width="4.28515625" bestFit="1" customWidth="1"/>
    <col min="13" max="13" width="8.28515625" bestFit="1" customWidth="1"/>
    <col min="14" max="14" width="8.7109375" bestFit="1" customWidth="1"/>
    <col min="15" max="15" width="8.28515625" bestFit="1" customWidth="1"/>
    <col min="16" max="16" width="8.7109375" bestFit="1" customWidth="1"/>
    <col min="17" max="17" width="10.42578125" bestFit="1" customWidth="1"/>
    <col min="18" max="19" width="8.7109375" bestFit="1" customWidth="1"/>
    <col min="20" max="20" width="8.140625" bestFit="1" customWidth="1"/>
    <col min="21" max="21" width="4.42578125" bestFit="1" customWidth="1"/>
  </cols>
  <sheetData>
    <row r="1" spans="1:21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  <c r="I1" s="4" t="s">
        <v>25</v>
      </c>
      <c r="J1" s="4" t="s">
        <v>26</v>
      </c>
      <c r="K1" s="4" t="s">
        <v>27</v>
      </c>
      <c r="L1" s="4" t="s">
        <v>28</v>
      </c>
      <c r="M1" s="4" t="s">
        <v>29</v>
      </c>
      <c r="N1" s="4" t="s">
        <v>30</v>
      </c>
      <c r="O1" s="4" t="s">
        <v>31</v>
      </c>
      <c r="P1" s="4" t="s">
        <v>32</v>
      </c>
      <c r="Q1" s="4" t="s">
        <v>33</v>
      </c>
      <c r="R1" s="4" t="s">
        <v>34</v>
      </c>
      <c r="S1" s="4" t="s">
        <v>35</v>
      </c>
      <c r="T1" s="4" t="s">
        <v>36</v>
      </c>
      <c r="U1" s="4" t="s">
        <v>37</v>
      </c>
    </row>
    <row r="2" spans="1:21">
      <c r="A2" s="4">
        <v>1</v>
      </c>
      <c r="B2" s="4">
        <v>232.39327235325766</v>
      </c>
      <c r="C2" s="4">
        <v>-16.54930054208819</v>
      </c>
      <c r="D2" s="4">
        <v>10</v>
      </c>
      <c r="E2" s="4">
        <v>0</v>
      </c>
      <c r="F2" s="4">
        <v>1.06</v>
      </c>
      <c r="G2" s="4">
        <v>100</v>
      </c>
      <c r="H2" s="4">
        <v>1</v>
      </c>
      <c r="I2" s="4">
        <v>332.4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</row>
    <row r="3" spans="1:21">
      <c r="A3" s="4">
        <v>2</v>
      </c>
      <c r="B3" s="4">
        <v>40</v>
      </c>
      <c r="C3" s="4">
        <v>43.55710013352838</v>
      </c>
      <c r="D3" s="4">
        <v>50</v>
      </c>
      <c r="E3" s="4">
        <v>-40</v>
      </c>
      <c r="F3" s="4">
        <v>1.0449999999999999</v>
      </c>
      <c r="G3" s="4">
        <v>100</v>
      </c>
      <c r="H3" s="4">
        <v>1</v>
      </c>
      <c r="I3" s="4">
        <v>140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</row>
    <row r="4" spans="1:21">
      <c r="A4" s="4">
        <v>3</v>
      </c>
      <c r="B4" s="4">
        <v>0</v>
      </c>
      <c r="C4" s="4">
        <v>25.075348495409862</v>
      </c>
      <c r="D4" s="4">
        <v>40</v>
      </c>
      <c r="E4" s="4">
        <v>0</v>
      </c>
      <c r="F4" s="4">
        <v>1.01</v>
      </c>
      <c r="G4" s="4">
        <v>100</v>
      </c>
      <c r="H4" s="4">
        <v>1</v>
      </c>
      <c r="I4" s="4">
        <v>100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</row>
    <row r="5" spans="1:21">
      <c r="A5" s="4">
        <v>6</v>
      </c>
      <c r="B5" s="4">
        <v>0</v>
      </c>
      <c r="C5" s="4">
        <v>12.730944404601182</v>
      </c>
      <c r="D5" s="4">
        <v>24</v>
      </c>
      <c r="E5" s="4">
        <v>-6</v>
      </c>
      <c r="F5" s="4">
        <v>1.07</v>
      </c>
      <c r="G5" s="4">
        <v>100</v>
      </c>
      <c r="H5" s="4">
        <v>1</v>
      </c>
      <c r="I5" s="4">
        <v>100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</row>
    <row r="6" spans="1:21">
      <c r="A6" s="4">
        <v>8</v>
      </c>
      <c r="B6" s="4">
        <v>0</v>
      </c>
      <c r="C6" s="4">
        <v>17.623451366399202</v>
      </c>
      <c r="D6" s="4">
        <v>24</v>
      </c>
      <c r="E6" s="4">
        <v>-6</v>
      </c>
      <c r="F6" s="4">
        <v>1.0900000000000001</v>
      </c>
      <c r="G6" s="4">
        <v>100</v>
      </c>
      <c r="H6" s="4">
        <v>1</v>
      </c>
      <c r="I6" s="4">
        <v>100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</row>
    <row r="8" spans="1:21">
      <c r="A8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workbookViewId="0">
      <selection activeCell="P1" sqref="P1"/>
    </sheetView>
  </sheetViews>
  <sheetFormatPr defaultRowHeight="15"/>
  <cols>
    <col min="1" max="1" width="11.28515625" bestFit="1" customWidth="1"/>
    <col min="2" max="2" width="7.7109375" bestFit="1" customWidth="1"/>
    <col min="3" max="3" width="5.140625" bestFit="1" customWidth="1"/>
    <col min="4" max="5" width="5" bestFit="1" customWidth="1"/>
    <col min="6" max="6" width="3.28515625" bestFit="1" customWidth="1"/>
    <col min="7" max="7" width="3.140625" customWidth="1"/>
    <col min="8" max="8" width="5.7109375" bestFit="1" customWidth="1"/>
    <col min="9" max="9" width="12" bestFit="1" customWidth="1"/>
    <col min="10" max="10" width="12.7109375" bestFit="1" customWidth="1"/>
    <col min="11" max="11" width="8.28515625" bestFit="1" customWidth="1"/>
    <col min="12" max="12" width="5.85546875" bestFit="1" customWidth="1"/>
    <col min="13" max="13" width="6.42578125" bestFit="1" customWidth="1"/>
    <col min="14" max="14" width="6" bestFit="1" customWidth="1"/>
  </cols>
  <sheetData>
    <row r="1" spans="1:16">
      <c r="A1" s="4" t="s">
        <v>65</v>
      </c>
      <c r="B1" s="4" t="s">
        <v>52</v>
      </c>
      <c r="C1" s="4" t="s">
        <v>53</v>
      </c>
      <c r="D1" s="4" t="s">
        <v>54</v>
      </c>
      <c r="E1" s="4" t="s">
        <v>55</v>
      </c>
      <c r="F1" s="4" t="s">
        <v>56</v>
      </c>
      <c r="G1" s="4" t="s">
        <v>57</v>
      </c>
      <c r="H1" s="4" t="s">
        <v>58</v>
      </c>
      <c r="I1" s="4" t="s">
        <v>59</v>
      </c>
      <c r="J1" s="4" t="s">
        <v>60</v>
      </c>
      <c r="K1" s="4" t="s">
        <v>61</v>
      </c>
      <c r="L1" s="4" t="s">
        <v>62</v>
      </c>
      <c r="M1" s="4" t="s">
        <v>63</v>
      </c>
      <c r="N1" s="4" t="s">
        <v>64</v>
      </c>
      <c r="P1" s="15" t="s">
        <v>88</v>
      </c>
    </row>
    <row r="2" spans="1:16">
      <c r="A2" s="4" t="s">
        <v>38</v>
      </c>
      <c r="B2" s="4">
        <v>1</v>
      </c>
      <c r="C2" s="4">
        <v>3</v>
      </c>
      <c r="D2" s="4">
        <v>0</v>
      </c>
      <c r="E2" s="4">
        <v>0</v>
      </c>
      <c r="F2" s="4">
        <v>0</v>
      </c>
      <c r="G2" s="4">
        <v>0</v>
      </c>
      <c r="H2" s="4">
        <v>1</v>
      </c>
      <c r="I2" s="4">
        <v>1.06</v>
      </c>
      <c r="J2" s="4">
        <v>0</v>
      </c>
      <c r="K2" s="4">
        <v>0</v>
      </c>
      <c r="L2" s="4">
        <v>1</v>
      </c>
      <c r="M2" s="4">
        <v>1.06</v>
      </c>
      <c r="N2" s="4">
        <v>0.94</v>
      </c>
      <c r="P2" s="4">
        <v>132</v>
      </c>
    </row>
    <row r="3" spans="1:16">
      <c r="A3" s="4" t="s">
        <v>39</v>
      </c>
      <c r="B3" s="4">
        <v>2</v>
      </c>
      <c r="C3" s="4">
        <v>2</v>
      </c>
      <c r="D3" s="4">
        <v>21.7</v>
      </c>
      <c r="E3" s="4">
        <v>12.7</v>
      </c>
      <c r="F3" s="4">
        <v>0</v>
      </c>
      <c r="G3" s="4">
        <v>0</v>
      </c>
      <c r="H3" s="4">
        <v>1</v>
      </c>
      <c r="I3" s="4">
        <v>1.0449999999999997</v>
      </c>
      <c r="J3" s="4">
        <v>-4.9825891418667174</v>
      </c>
      <c r="K3" s="4">
        <v>0</v>
      </c>
      <c r="L3" s="4">
        <v>1</v>
      </c>
      <c r="M3" s="4">
        <v>1.06</v>
      </c>
      <c r="N3" s="4">
        <v>0.94</v>
      </c>
      <c r="P3" s="4">
        <v>132</v>
      </c>
    </row>
    <row r="4" spans="1:16">
      <c r="A4" s="4" t="s">
        <v>40</v>
      </c>
      <c r="B4" s="4">
        <v>3</v>
      </c>
      <c r="C4" s="4">
        <v>2</v>
      </c>
      <c r="D4" s="4">
        <v>94.2</v>
      </c>
      <c r="E4" s="4">
        <v>19</v>
      </c>
      <c r="F4" s="4">
        <v>0</v>
      </c>
      <c r="G4" s="4">
        <v>0</v>
      </c>
      <c r="H4" s="4">
        <v>1</v>
      </c>
      <c r="I4" s="4">
        <v>1.01</v>
      </c>
      <c r="J4" s="4">
        <v>-12.725099938025274</v>
      </c>
      <c r="K4" s="4">
        <v>0</v>
      </c>
      <c r="L4" s="4">
        <v>1</v>
      </c>
      <c r="M4" s="4">
        <v>1.06</v>
      </c>
      <c r="N4" s="4">
        <v>0.94</v>
      </c>
      <c r="P4" s="4">
        <v>132</v>
      </c>
    </row>
    <row r="5" spans="1:16">
      <c r="A5" s="4" t="s">
        <v>41</v>
      </c>
      <c r="B5" s="4">
        <v>4</v>
      </c>
      <c r="C5" s="4">
        <v>1</v>
      </c>
      <c r="D5" s="4">
        <v>47.8</v>
      </c>
      <c r="E5" s="4">
        <v>-3.9</v>
      </c>
      <c r="F5" s="4">
        <v>0</v>
      </c>
      <c r="G5" s="4">
        <v>0</v>
      </c>
      <c r="H5" s="4">
        <v>1</v>
      </c>
      <c r="I5" s="4">
        <v>1.0176708536972441</v>
      </c>
      <c r="J5" s="4">
        <v>-10.312901092220395</v>
      </c>
      <c r="K5" s="4">
        <v>0</v>
      </c>
      <c r="L5" s="4">
        <v>1</v>
      </c>
      <c r="M5" s="4">
        <v>1.06</v>
      </c>
      <c r="N5" s="4">
        <v>0.94</v>
      </c>
      <c r="P5" s="4">
        <v>132</v>
      </c>
    </row>
    <row r="6" spans="1:16">
      <c r="A6" s="4" t="s">
        <v>42</v>
      </c>
      <c r="B6" s="4">
        <v>5</v>
      </c>
      <c r="C6" s="4">
        <v>1</v>
      </c>
      <c r="D6" s="4">
        <v>7.6</v>
      </c>
      <c r="E6" s="4">
        <v>1.6</v>
      </c>
      <c r="F6" s="4">
        <v>0</v>
      </c>
      <c r="G6" s="4">
        <v>0</v>
      </c>
      <c r="H6" s="4">
        <v>1</v>
      </c>
      <c r="I6" s="4">
        <v>1.0195138598224713</v>
      </c>
      <c r="J6" s="4">
        <v>-8.7738538981447984</v>
      </c>
      <c r="K6" s="4">
        <v>0</v>
      </c>
      <c r="L6" s="4">
        <v>1</v>
      </c>
      <c r="M6" s="4">
        <v>1.06</v>
      </c>
      <c r="N6" s="4">
        <v>0.94</v>
      </c>
      <c r="P6" s="4">
        <v>132</v>
      </c>
    </row>
    <row r="7" spans="1:16">
      <c r="A7" s="4" t="s">
        <v>43</v>
      </c>
      <c r="B7" s="4">
        <v>6</v>
      </c>
      <c r="C7" s="4">
        <v>2</v>
      </c>
      <c r="D7" s="4">
        <v>11.2</v>
      </c>
      <c r="E7" s="4">
        <v>7.5</v>
      </c>
      <c r="F7" s="4">
        <v>0</v>
      </c>
      <c r="G7" s="4">
        <v>0</v>
      </c>
      <c r="H7" s="4">
        <v>1</v>
      </c>
      <c r="I7" s="4">
        <v>1.07</v>
      </c>
      <c r="J7" s="4">
        <v>-14.220946463441587</v>
      </c>
      <c r="K7" s="4">
        <v>0</v>
      </c>
      <c r="L7" s="4">
        <v>1</v>
      </c>
      <c r="M7" s="4">
        <v>1.06</v>
      </c>
      <c r="N7" s="4">
        <v>0.94</v>
      </c>
      <c r="P7" s="4">
        <v>33</v>
      </c>
    </row>
    <row r="8" spans="1:16">
      <c r="A8" s="4" t="s">
        <v>44</v>
      </c>
      <c r="B8" s="4">
        <v>7</v>
      </c>
      <c r="C8" s="4">
        <v>1</v>
      </c>
      <c r="D8" s="4">
        <v>0</v>
      </c>
      <c r="E8" s="4">
        <v>0</v>
      </c>
      <c r="F8" s="4">
        <v>0</v>
      </c>
      <c r="G8" s="4">
        <v>0</v>
      </c>
      <c r="H8" s="4">
        <v>1</v>
      </c>
      <c r="I8" s="4">
        <v>1.0615195324936586</v>
      </c>
      <c r="J8" s="4">
        <v>-13.359627365148604</v>
      </c>
      <c r="K8" s="4">
        <v>0</v>
      </c>
      <c r="L8" s="4">
        <v>1</v>
      </c>
      <c r="M8" s="4">
        <v>1.06</v>
      </c>
      <c r="N8" s="4">
        <v>0.94</v>
      </c>
      <c r="P8" s="4">
        <v>1</v>
      </c>
    </row>
    <row r="9" spans="1:16">
      <c r="A9" s="4" t="s">
        <v>45</v>
      </c>
      <c r="B9" s="4">
        <v>8</v>
      </c>
      <c r="C9" s="4">
        <v>2</v>
      </c>
      <c r="D9" s="4">
        <v>0</v>
      </c>
      <c r="E9" s="4">
        <v>0</v>
      </c>
      <c r="F9" s="4">
        <v>0</v>
      </c>
      <c r="G9" s="4">
        <v>0</v>
      </c>
      <c r="H9" s="4">
        <v>1</v>
      </c>
      <c r="I9" s="4">
        <v>1.0900000000000001</v>
      </c>
      <c r="J9" s="4">
        <v>-13.359627365143629</v>
      </c>
      <c r="K9" s="4">
        <v>0</v>
      </c>
      <c r="L9" s="4">
        <v>1</v>
      </c>
      <c r="M9" s="4">
        <v>1.06</v>
      </c>
      <c r="N9" s="4">
        <v>0.94</v>
      </c>
      <c r="P9" s="4">
        <v>11</v>
      </c>
    </row>
    <row r="10" spans="1:16">
      <c r="A10" s="4" t="s">
        <v>46</v>
      </c>
      <c r="B10" s="4">
        <v>9</v>
      </c>
      <c r="C10" s="4">
        <v>1</v>
      </c>
      <c r="D10" s="4">
        <v>29.5</v>
      </c>
      <c r="E10" s="4">
        <v>16.600000000000001</v>
      </c>
      <c r="F10" s="4">
        <v>0</v>
      </c>
      <c r="G10" s="4">
        <v>19</v>
      </c>
      <c r="H10" s="4">
        <v>1</v>
      </c>
      <c r="I10" s="4">
        <v>1.0559317206396515</v>
      </c>
      <c r="J10" s="4">
        <v>-14.938521295007547</v>
      </c>
      <c r="K10" s="4">
        <v>0</v>
      </c>
      <c r="L10" s="4">
        <v>1</v>
      </c>
      <c r="M10" s="4">
        <v>1.06</v>
      </c>
      <c r="N10" s="4">
        <v>0.94</v>
      </c>
      <c r="P10" s="4">
        <v>33</v>
      </c>
    </row>
    <row r="11" spans="1:16">
      <c r="A11" s="4" t="s">
        <v>47</v>
      </c>
      <c r="B11" s="4">
        <v>10</v>
      </c>
      <c r="C11" s="4">
        <v>1</v>
      </c>
      <c r="D11" s="4">
        <v>9</v>
      </c>
      <c r="E11" s="4">
        <v>5.8</v>
      </c>
      <c r="F11" s="4">
        <v>0</v>
      </c>
      <c r="G11" s="4">
        <v>0</v>
      </c>
      <c r="H11" s="4">
        <v>1</v>
      </c>
      <c r="I11" s="4">
        <v>1.0509846250020831</v>
      </c>
      <c r="J11" s="4">
        <v>-15.097288462840726</v>
      </c>
      <c r="K11" s="4">
        <v>0</v>
      </c>
      <c r="L11" s="4">
        <v>1</v>
      </c>
      <c r="M11" s="4">
        <v>1.06</v>
      </c>
      <c r="N11" s="4">
        <v>0.94</v>
      </c>
      <c r="P11" s="4">
        <v>33</v>
      </c>
    </row>
    <row r="12" spans="1:16">
      <c r="A12" s="4" t="s">
        <v>48</v>
      </c>
      <c r="B12" s="4">
        <v>11</v>
      </c>
      <c r="C12" s="4">
        <v>1</v>
      </c>
      <c r="D12" s="4">
        <v>3.5</v>
      </c>
      <c r="E12" s="4">
        <v>1.8</v>
      </c>
      <c r="F12" s="4">
        <v>0</v>
      </c>
      <c r="G12" s="4">
        <v>0</v>
      </c>
      <c r="H12" s="4">
        <v>1</v>
      </c>
      <c r="I12" s="4">
        <v>1.0569065185415227</v>
      </c>
      <c r="J12" s="4">
        <v>-14.790622031074742</v>
      </c>
      <c r="K12" s="4">
        <v>0</v>
      </c>
      <c r="L12" s="4">
        <v>1</v>
      </c>
      <c r="M12" s="4">
        <v>1.06</v>
      </c>
      <c r="N12" s="4">
        <v>0.94</v>
      </c>
      <c r="P12" s="4">
        <v>33</v>
      </c>
    </row>
    <row r="13" spans="1:16">
      <c r="A13" s="4" t="s">
        <v>49</v>
      </c>
      <c r="B13" s="4">
        <v>12</v>
      </c>
      <c r="C13" s="4">
        <v>1</v>
      </c>
      <c r="D13" s="4">
        <v>6.1</v>
      </c>
      <c r="E13" s="4">
        <v>1.6</v>
      </c>
      <c r="F13" s="4">
        <v>0</v>
      </c>
      <c r="G13" s="4">
        <v>0</v>
      </c>
      <c r="H13" s="4">
        <v>1</v>
      </c>
      <c r="I13" s="4">
        <v>1.0551885631973958</v>
      </c>
      <c r="J13" s="4">
        <v>-15.075584520162304</v>
      </c>
      <c r="K13" s="4">
        <v>0</v>
      </c>
      <c r="L13" s="4">
        <v>1</v>
      </c>
      <c r="M13" s="4">
        <v>1.06</v>
      </c>
      <c r="N13" s="4">
        <v>0.94</v>
      </c>
      <c r="P13" s="4">
        <v>33</v>
      </c>
    </row>
    <row r="14" spans="1:16">
      <c r="A14" s="4" t="s">
        <v>50</v>
      </c>
      <c r="B14" s="4">
        <v>13</v>
      </c>
      <c r="C14" s="4">
        <v>1</v>
      </c>
      <c r="D14" s="4">
        <v>13.5</v>
      </c>
      <c r="E14" s="4">
        <v>5.8</v>
      </c>
      <c r="F14" s="4">
        <v>0</v>
      </c>
      <c r="G14" s="4">
        <v>0</v>
      </c>
      <c r="H14" s="4">
        <v>1</v>
      </c>
      <c r="I14" s="4">
        <v>1.050381713629174</v>
      </c>
      <c r="J14" s="4">
        <v>-15.156276335963218</v>
      </c>
      <c r="K14" s="4">
        <v>0</v>
      </c>
      <c r="L14" s="4">
        <v>1</v>
      </c>
      <c r="M14" s="4">
        <v>1.06</v>
      </c>
      <c r="N14" s="4">
        <v>0.94</v>
      </c>
      <c r="P14" s="4">
        <v>33</v>
      </c>
    </row>
    <row r="15" spans="1:16">
      <c r="A15" s="4" t="s">
        <v>51</v>
      </c>
      <c r="B15" s="4">
        <v>14</v>
      </c>
      <c r="C15" s="4">
        <v>1</v>
      </c>
      <c r="D15" s="4">
        <v>14.9</v>
      </c>
      <c r="E15" s="4">
        <v>5</v>
      </c>
      <c r="F15" s="4">
        <v>0</v>
      </c>
      <c r="G15" s="4">
        <v>0</v>
      </c>
      <c r="H15" s="4">
        <v>1</v>
      </c>
      <c r="I15" s="4">
        <v>1.0355299458557006</v>
      </c>
      <c r="J15" s="4">
        <v>-16.03364452896194</v>
      </c>
      <c r="K15" s="4">
        <v>0</v>
      </c>
      <c r="L15" s="4">
        <v>1</v>
      </c>
      <c r="M15" s="4">
        <v>1.06</v>
      </c>
      <c r="N15" s="4">
        <v>0.94</v>
      </c>
      <c r="P15" s="4">
        <v>33</v>
      </c>
    </row>
    <row r="16" spans="1:16">
      <c r="C16" s="5" t="s">
        <v>66</v>
      </c>
    </row>
    <row r="18" spans="1:1">
      <c r="A18" t="s">
        <v>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workbookViewId="0">
      <selection activeCell="A23" sqref="A23"/>
    </sheetView>
  </sheetViews>
  <sheetFormatPr defaultRowHeight="15"/>
  <cols>
    <col min="1" max="1" width="7.140625" style="6" bestFit="1" customWidth="1"/>
    <col min="2" max="2" width="7" style="6" bestFit="1" customWidth="1"/>
    <col min="3" max="5" width="8.5703125" style="6" bestFit="1" customWidth="1"/>
    <col min="6" max="6" width="7" style="6" customWidth="1"/>
    <col min="7" max="8" width="11.5703125" style="6" bestFit="1" customWidth="1"/>
    <col min="9" max="9" width="16.7109375" style="6" bestFit="1" customWidth="1"/>
    <col min="10" max="10" width="14.42578125" style="6" customWidth="1"/>
    <col min="11" max="12" width="9.28515625" style="6" bestFit="1" customWidth="1"/>
    <col min="13" max="13" width="12.7109375" style="6" bestFit="1" customWidth="1"/>
    <col min="14" max="14" width="13.85546875" style="6" bestFit="1" customWidth="1"/>
    <col min="15" max="15" width="18" style="6" bestFit="1" customWidth="1"/>
    <col min="16" max="16" width="10" style="6" bestFit="1" customWidth="1"/>
    <col min="17" max="16384" width="9.140625" style="6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74</v>
      </c>
      <c r="G1" s="4" t="s">
        <v>67</v>
      </c>
      <c r="H1" s="4" t="s">
        <v>68</v>
      </c>
      <c r="I1" s="4" t="s">
        <v>69</v>
      </c>
      <c r="J1" s="4"/>
      <c r="K1" s="4"/>
      <c r="L1" s="4"/>
      <c r="M1" s="4"/>
      <c r="N1" s="4"/>
      <c r="O1" s="4"/>
      <c r="P1" s="4"/>
    </row>
    <row r="2" spans="1:16">
      <c r="A2" s="4">
        <v>1</v>
      </c>
      <c r="B2" s="4">
        <v>2</v>
      </c>
      <c r="C2" s="7">
        <v>1.9380000000000001E-2</v>
      </c>
      <c r="D2" s="7">
        <v>5.917E-2</v>
      </c>
      <c r="E2" s="7">
        <v>5.28E-2</v>
      </c>
      <c r="F2" s="14">
        <v>1</v>
      </c>
      <c r="G2" s="11">
        <f>C2*F2*F2/100</f>
        <v>1.9380000000000002E-4</v>
      </c>
      <c r="H2" s="11">
        <f>D2*F2*F2/100</f>
        <v>5.9170000000000002E-4</v>
      </c>
      <c r="I2" s="11">
        <f>E2*100*10^6/(F2*F2)</f>
        <v>5280000</v>
      </c>
      <c r="J2" s="8" t="str">
        <f>CONCATENATE("New line.",A2,"-",B2)</f>
        <v>New line.1-2</v>
      </c>
      <c r="K2" s="8" t="str">
        <f>CONCATENATE("Bus1=B",A2)</f>
        <v>Bus1=B1</v>
      </c>
      <c r="L2" s="8" t="str">
        <f>CONCATENATE("Bus2=B",B2)</f>
        <v>Bus2=B2</v>
      </c>
      <c r="M2" s="8" t="str">
        <f>CONCATENATE("R1=",G2)</f>
        <v>R1=0.0001938</v>
      </c>
      <c r="N2" s="8" t="str">
        <f>CONCATENATE("X1=",H2)</f>
        <v>X1=0.0005917</v>
      </c>
      <c r="O2" s="8" t="str">
        <f>CONCATENATE("B1=",TEXT(I2,"0.000000"))</f>
        <v>B1=5280000.000000</v>
      </c>
      <c r="P2" s="8" t="s">
        <v>70</v>
      </c>
    </row>
    <row r="3" spans="1:16">
      <c r="A3" s="4">
        <v>1</v>
      </c>
      <c r="B3" s="4">
        <v>5</v>
      </c>
      <c r="C3" s="7">
        <v>5.4030000000000002E-2</v>
      </c>
      <c r="D3" s="7">
        <v>0.22303999999999999</v>
      </c>
      <c r="E3" s="7">
        <v>4.9200000000000001E-2</v>
      </c>
      <c r="F3" s="14">
        <v>1</v>
      </c>
      <c r="G3" s="11">
        <f t="shared" ref="G3:G21" si="0">C3*F3*F3/100</f>
        <v>5.4030000000000007E-4</v>
      </c>
      <c r="H3" s="11">
        <f t="shared" ref="H3:H21" si="1">D3*F3*F3/100</f>
        <v>2.2304E-3</v>
      </c>
      <c r="I3" s="11">
        <f t="shared" ref="I3:I21" si="2">E3*100*10^6/(F3*F3)</f>
        <v>4920000</v>
      </c>
      <c r="J3" s="8" t="str">
        <f>CONCATENATE("New line.",A3,"-",B3)</f>
        <v>New line.1-5</v>
      </c>
      <c r="K3" s="8" t="str">
        <f>CONCATENATE("Bus1=B",A3)</f>
        <v>Bus1=B1</v>
      </c>
      <c r="L3" s="8" t="str">
        <f>CONCATENATE("Bus2=B",B3)</f>
        <v>Bus2=B5</v>
      </c>
      <c r="M3" s="8" t="str">
        <f t="shared" ref="M3:M21" si="3">CONCATENATE("R1=",G3)</f>
        <v>R1=0.0005403</v>
      </c>
      <c r="N3" s="8" t="str">
        <f t="shared" ref="N3:N21" si="4">CONCATENATE("X1=",H3)</f>
        <v>X1=0.0022304</v>
      </c>
      <c r="O3" s="8" t="str">
        <f t="shared" ref="O3:O21" si="5">CONCATENATE("B1=",TEXT(I3,"0.000000"))</f>
        <v>B1=4920000.000000</v>
      </c>
      <c r="P3" s="8" t="s">
        <v>70</v>
      </c>
    </row>
    <row r="4" spans="1:16">
      <c r="A4" s="4">
        <v>2</v>
      </c>
      <c r="B4" s="4">
        <v>3</v>
      </c>
      <c r="C4" s="7">
        <v>4.6989999999999997E-2</v>
      </c>
      <c r="D4" s="7">
        <v>0.19797000000000001</v>
      </c>
      <c r="E4" s="7">
        <v>4.3799999999999999E-2</v>
      </c>
      <c r="F4" s="14">
        <v>1</v>
      </c>
      <c r="G4" s="11">
        <f t="shared" si="0"/>
        <v>4.6989999999999998E-4</v>
      </c>
      <c r="H4" s="11">
        <f t="shared" si="1"/>
        <v>1.9797E-3</v>
      </c>
      <c r="I4" s="11">
        <f t="shared" si="2"/>
        <v>4380000</v>
      </c>
      <c r="J4" s="8" t="str">
        <f>CONCATENATE("New line.",A4,"-",B4)</f>
        <v>New line.2-3</v>
      </c>
      <c r="K4" s="8" t="str">
        <f>CONCATENATE("Bus1=B",A4)</f>
        <v>Bus1=B2</v>
      </c>
      <c r="L4" s="8" t="str">
        <f>CONCATENATE("Bus2=B",B4)</f>
        <v>Bus2=B3</v>
      </c>
      <c r="M4" s="8" t="str">
        <f t="shared" si="3"/>
        <v>R1=0.0004699</v>
      </c>
      <c r="N4" s="8" t="str">
        <f t="shared" si="4"/>
        <v>X1=0.0019797</v>
      </c>
      <c r="O4" s="8" t="str">
        <f t="shared" si="5"/>
        <v>B1=4380000.000000</v>
      </c>
      <c r="P4" s="8" t="s">
        <v>70</v>
      </c>
    </row>
    <row r="5" spans="1:16">
      <c r="A5" s="4">
        <v>2</v>
      </c>
      <c r="B5" s="4">
        <v>4</v>
      </c>
      <c r="C5" s="7">
        <v>5.8110000000000002E-2</v>
      </c>
      <c r="D5" s="7">
        <v>0.17632</v>
      </c>
      <c r="E5" s="7">
        <v>3.4000000000000002E-2</v>
      </c>
      <c r="F5" s="14">
        <v>1</v>
      </c>
      <c r="G5" s="11">
        <f t="shared" si="0"/>
        <v>5.8109999999999998E-4</v>
      </c>
      <c r="H5" s="11">
        <f t="shared" si="1"/>
        <v>1.7632000000000001E-3</v>
      </c>
      <c r="I5" s="11">
        <f t="shared" si="2"/>
        <v>3400000.0000000005</v>
      </c>
      <c r="J5" s="8" t="str">
        <f>CONCATENATE("New line.",A5,"-",B5)</f>
        <v>New line.2-4</v>
      </c>
      <c r="K5" s="8" t="str">
        <f>CONCATENATE("Bus1=B",A5)</f>
        <v>Bus1=B2</v>
      </c>
      <c r="L5" s="8" t="str">
        <f>CONCATENATE("Bus2=B",B5)</f>
        <v>Bus2=B4</v>
      </c>
      <c r="M5" s="8" t="str">
        <f t="shared" si="3"/>
        <v>R1=0.0005811</v>
      </c>
      <c r="N5" s="8" t="str">
        <f t="shared" si="4"/>
        <v>X1=0.0017632</v>
      </c>
      <c r="O5" s="8" t="str">
        <f t="shared" si="5"/>
        <v>B1=3400000.000000</v>
      </c>
      <c r="P5" s="8" t="s">
        <v>70</v>
      </c>
    </row>
    <row r="6" spans="1:16">
      <c r="A6" s="4">
        <v>2</v>
      </c>
      <c r="B6" s="4">
        <v>5</v>
      </c>
      <c r="C6" s="7">
        <v>5.6950000000000001E-2</v>
      </c>
      <c r="D6" s="7">
        <v>0.17388000000000001</v>
      </c>
      <c r="E6" s="7">
        <v>3.4599999999999999E-2</v>
      </c>
      <c r="F6" s="14">
        <v>1</v>
      </c>
      <c r="G6" s="11">
        <f t="shared" si="0"/>
        <v>5.6950000000000002E-4</v>
      </c>
      <c r="H6" s="11">
        <f t="shared" si="1"/>
        <v>1.7388E-3</v>
      </c>
      <c r="I6" s="11">
        <f t="shared" si="2"/>
        <v>3460000</v>
      </c>
      <c r="J6" s="8" t="str">
        <f>CONCATENATE("New line.",A6,"-",B6)</f>
        <v>New line.2-5</v>
      </c>
      <c r="K6" s="8" t="str">
        <f>CONCATENATE("Bus1=B",A6)</f>
        <v>Bus1=B2</v>
      </c>
      <c r="L6" s="8" t="str">
        <f>CONCATENATE("Bus2=B",B6)</f>
        <v>Bus2=B5</v>
      </c>
      <c r="M6" s="8" t="str">
        <f t="shared" si="3"/>
        <v>R1=0.0005695</v>
      </c>
      <c r="N6" s="8" t="str">
        <f t="shared" si="4"/>
        <v>X1=0.0017388</v>
      </c>
      <c r="O6" s="8" t="str">
        <f t="shared" si="5"/>
        <v>B1=3460000.000000</v>
      </c>
      <c r="P6" s="8" t="s">
        <v>70</v>
      </c>
    </row>
    <row r="7" spans="1:16">
      <c r="A7" s="4">
        <v>3</v>
      </c>
      <c r="B7" s="4">
        <v>4</v>
      </c>
      <c r="C7" s="7">
        <v>6.701E-2</v>
      </c>
      <c r="D7" s="7">
        <v>0.17102999999999999</v>
      </c>
      <c r="E7" s="7">
        <v>1.2800000000000001E-2</v>
      </c>
      <c r="F7" s="14">
        <v>1</v>
      </c>
      <c r="G7" s="11">
        <f t="shared" si="0"/>
        <v>6.7009999999999997E-4</v>
      </c>
      <c r="H7" s="11">
        <f t="shared" si="1"/>
        <v>1.7102999999999999E-3</v>
      </c>
      <c r="I7" s="11">
        <f t="shared" si="2"/>
        <v>1280000</v>
      </c>
      <c r="J7" s="8" t="str">
        <f>CONCATENATE("New line.",A7,"-",B7)</f>
        <v>New line.3-4</v>
      </c>
      <c r="K7" s="8" t="str">
        <f>CONCATENATE("Bus1=B",A7)</f>
        <v>Bus1=B3</v>
      </c>
      <c r="L7" s="8" t="str">
        <f>CONCATENATE("Bus2=B",B7)</f>
        <v>Bus2=B4</v>
      </c>
      <c r="M7" s="8" t="str">
        <f t="shared" si="3"/>
        <v>R1=0.0006701</v>
      </c>
      <c r="N7" s="8" t="str">
        <f t="shared" si="4"/>
        <v>X1=0.0017103</v>
      </c>
      <c r="O7" s="8" t="str">
        <f t="shared" si="5"/>
        <v>B1=1280000.000000</v>
      </c>
      <c r="P7" s="8" t="s">
        <v>70</v>
      </c>
    </row>
    <row r="8" spans="1:16">
      <c r="A8" s="4">
        <v>4</v>
      </c>
      <c r="B8" s="4">
        <v>5</v>
      </c>
      <c r="C8" s="7">
        <v>1.3350000000000001E-2</v>
      </c>
      <c r="D8" s="7">
        <v>4.2110000000000002E-2</v>
      </c>
      <c r="E8" s="7">
        <v>0</v>
      </c>
      <c r="F8" s="14">
        <v>1</v>
      </c>
      <c r="G8" s="11">
        <f t="shared" si="0"/>
        <v>1.3350000000000002E-4</v>
      </c>
      <c r="H8" s="11">
        <f t="shared" si="1"/>
        <v>4.2109999999999999E-4</v>
      </c>
      <c r="I8" s="11">
        <f t="shared" si="2"/>
        <v>0</v>
      </c>
      <c r="J8" s="8" t="str">
        <f>CONCATENATE("New line.",A8,"-",B8)</f>
        <v>New line.4-5</v>
      </c>
      <c r="K8" s="8" t="str">
        <f>CONCATENATE("Bus1=B",A8)</f>
        <v>Bus1=B4</v>
      </c>
      <c r="L8" s="8" t="str">
        <f>CONCATENATE("Bus2=B",B8)</f>
        <v>Bus2=B5</v>
      </c>
      <c r="M8" s="8" t="str">
        <f t="shared" si="3"/>
        <v>R1=0.0001335</v>
      </c>
      <c r="N8" s="8" t="str">
        <f t="shared" si="4"/>
        <v>X1=0.0004211</v>
      </c>
      <c r="O8" s="8" t="str">
        <f t="shared" si="5"/>
        <v>B1=0.000000</v>
      </c>
      <c r="P8" s="8" t="s">
        <v>70</v>
      </c>
    </row>
    <row r="9" spans="1:16">
      <c r="A9" s="4">
        <v>4</v>
      </c>
      <c r="B9" s="4">
        <v>7</v>
      </c>
      <c r="C9" s="7">
        <v>0</v>
      </c>
      <c r="D9" s="7">
        <v>0.20912</v>
      </c>
      <c r="E9" s="7">
        <v>0</v>
      </c>
      <c r="F9" s="14">
        <v>1</v>
      </c>
      <c r="G9" s="11">
        <f t="shared" si="0"/>
        <v>0</v>
      </c>
      <c r="H9" s="11">
        <f t="shared" si="1"/>
        <v>2.0912000000000001E-3</v>
      </c>
      <c r="I9" s="11">
        <f t="shared" si="2"/>
        <v>0</v>
      </c>
      <c r="J9" s="8" t="str">
        <f>CONCATENATE("New line.",A9,"-",B9)</f>
        <v>New line.4-7</v>
      </c>
      <c r="K9" s="8" t="str">
        <f>CONCATENATE("Bus1=B",A9)</f>
        <v>Bus1=B4</v>
      </c>
      <c r="L9" s="8" t="str">
        <f>CONCATENATE("Bus2=B",B9)</f>
        <v>Bus2=B7</v>
      </c>
      <c r="M9" s="8" t="str">
        <f t="shared" si="3"/>
        <v>R1=0</v>
      </c>
      <c r="N9" s="8" t="str">
        <f t="shared" si="4"/>
        <v>X1=0.0020912</v>
      </c>
      <c r="O9" s="8" t="str">
        <f t="shared" si="5"/>
        <v>B1=0.000000</v>
      </c>
      <c r="P9" s="8" t="s">
        <v>70</v>
      </c>
    </row>
    <row r="10" spans="1:16">
      <c r="A10" s="4">
        <v>4</v>
      </c>
      <c r="B10" s="4">
        <v>9</v>
      </c>
      <c r="C10" s="7">
        <v>0</v>
      </c>
      <c r="D10" s="7">
        <v>0.55618000000000001</v>
      </c>
      <c r="E10" s="7">
        <v>0</v>
      </c>
      <c r="F10" s="14">
        <v>1</v>
      </c>
      <c r="G10" s="11">
        <f t="shared" si="0"/>
        <v>0</v>
      </c>
      <c r="H10" s="11">
        <f t="shared" si="1"/>
        <v>5.5618000000000004E-3</v>
      </c>
      <c r="I10" s="11">
        <f t="shared" si="2"/>
        <v>0</v>
      </c>
      <c r="J10" s="8" t="str">
        <f>CONCATENATE("New line.",A10,"-",B10)</f>
        <v>New line.4-9</v>
      </c>
      <c r="K10" s="8" t="str">
        <f>CONCATENATE("Bus1=B",A10)</f>
        <v>Bus1=B4</v>
      </c>
      <c r="L10" s="8" t="str">
        <f>CONCATENATE("Bus2=B",B10)</f>
        <v>Bus2=B9</v>
      </c>
      <c r="M10" s="8" t="str">
        <f t="shared" si="3"/>
        <v>R1=0</v>
      </c>
      <c r="N10" s="8" t="str">
        <f t="shared" si="4"/>
        <v>X1=0.0055618</v>
      </c>
      <c r="O10" s="8" t="str">
        <f t="shared" si="5"/>
        <v>B1=0.000000</v>
      </c>
      <c r="P10" s="8" t="s">
        <v>70</v>
      </c>
    </row>
    <row r="11" spans="1:16">
      <c r="A11" s="4">
        <v>5</v>
      </c>
      <c r="B11" s="4">
        <v>6</v>
      </c>
      <c r="C11" s="7">
        <v>0</v>
      </c>
      <c r="D11" s="7">
        <v>0.25202000000000002</v>
      </c>
      <c r="E11" s="7">
        <v>0</v>
      </c>
      <c r="F11" s="14">
        <v>1</v>
      </c>
      <c r="G11" s="11">
        <f t="shared" si="0"/>
        <v>0</v>
      </c>
      <c r="H11" s="11">
        <f t="shared" si="1"/>
        <v>2.5202000000000002E-3</v>
      </c>
      <c r="I11" s="11">
        <f t="shared" si="2"/>
        <v>0</v>
      </c>
      <c r="J11" s="8" t="str">
        <f>CONCATENATE("New line.",A11,"-",B11)</f>
        <v>New line.5-6</v>
      </c>
      <c r="K11" s="8" t="str">
        <f>CONCATENATE("Bus1=B",A11)</f>
        <v>Bus1=B5</v>
      </c>
      <c r="L11" s="8" t="str">
        <f>CONCATENATE("Bus2=B",B11)</f>
        <v>Bus2=B6</v>
      </c>
      <c r="M11" s="8" t="str">
        <f t="shared" si="3"/>
        <v>R1=0</v>
      </c>
      <c r="N11" s="8" t="str">
        <f t="shared" si="4"/>
        <v>X1=0.0025202</v>
      </c>
      <c r="O11" s="8" t="str">
        <f t="shared" si="5"/>
        <v>B1=0.000000</v>
      </c>
      <c r="P11" s="8" t="s">
        <v>70</v>
      </c>
    </row>
    <row r="12" spans="1:16">
      <c r="A12" s="4">
        <v>6</v>
      </c>
      <c r="B12" s="4">
        <v>11</v>
      </c>
      <c r="C12" s="7">
        <v>9.4979999999999995E-2</v>
      </c>
      <c r="D12" s="7">
        <v>0.19889999999999999</v>
      </c>
      <c r="E12" s="7">
        <v>0</v>
      </c>
      <c r="F12" s="14">
        <v>1</v>
      </c>
      <c r="G12" s="11">
        <f t="shared" si="0"/>
        <v>9.4979999999999999E-4</v>
      </c>
      <c r="H12" s="11">
        <f t="shared" si="1"/>
        <v>1.9889999999999999E-3</v>
      </c>
      <c r="I12" s="11">
        <f t="shared" si="2"/>
        <v>0</v>
      </c>
      <c r="J12" s="8" t="str">
        <f>CONCATENATE("New line.",A12,"-",B12)</f>
        <v>New line.6-11</v>
      </c>
      <c r="K12" s="8" t="str">
        <f>CONCATENATE("Bus1=B",A12)</f>
        <v>Bus1=B6</v>
      </c>
      <c r="L12" s="8" t="str">
        <f>CONCATENATE("Bus2=B",B12)</f>
        <v>Bus2=B11</v>
      </c>
      <c r="M12" s="8" t="str">
        <f t="shared" si="3"/>
        <v>R1=0.0009498</v>
      </c>
      <c r="N12" s="8" t="str">
        <f t="shared" si="4"/>
        <v>X1=0.001989</v>
      </c>
      <c r="O12" s="8" t="str">
        <f t="shared" si="5"/>
        <v>B1=0.000000</v>
      </c>
      <c r="P12" s="8" t="s">
        <v>70</v>
      </c>
    </row>
    <row r="13" spans="1:16">
      <c r="A13" s="4">
        <v>6</v>
      </c>
      <c r="B13" s="4">
        <v>12</v>
      </c>
      <c r="C13" s="7">
        <v>0.12291000000000001</v>
      </c>
      <c r="D13" s="7">
        <v>0.25580999999999998</v>
      </c>
      <c r="E13" s="7">
        <v>0</v>
      </c>
      <c r="F13" s="14">
        <v>1</v>
      </c>
      <c r="G13" s="11">
        <f t="shared" si="0"/>
        <v>1.2291000000000001E-3</v>
      </c>
      <c r="H13" s="11">
        <f t="shared" si="1"/>
        <v>2.5580999999999998E-3</v>
      </c>
      <c r="I13" s="11">
        <f t="shared" si="2"/>
        <v>0</v>
      </c>
      <c r="J13" s="8" t="str">
        <f>CONCATENATE("New line.",A13,"-",B13)</f>
        <v>New line.6-12</v>
      </c>
      <c r="K13" s="8" t="str">
        <f>CONCATENATE("Bus1=B",A13)</f>
        <v>Bus1=B6</v>
      </c>
      <c r="L13" s="8" t="str">
        <f>CONCATENATE("Bus2=B",B13)</f>
        <v>Bus2=B12</v>
      </c>
      <c r="M13" s="8" t="str">
        <f t="shared" si="3"/>
        <v>R1=0.0012291</v>
      </c>
      <c r="N13" s="8" t="str">
        <f t="shared" si="4"/>
        <v>X1=0.0025581</v>
      </c>
      <c r="O13" s="8" t="str">
        <f t="shared" si="5"/>
        <v>B1=0.000000</v>
      </c>
      <c r="P13" s="8" t="s">
        <v>70</v>
      </c>
    </row>
    <row r="14" spans="1:16">
      <c r="A14" s="4">
        <v>6</v>
      </c>
      <c r="B14" s="4">
        <v>13</v>
      </c>
      <c r="C14" s="7">
        <v>6.615E-2</v>
      </c>
      <c r="D14" s="7">
        <v>0.13027</v>
      </c>
      <c r="E14" s="7">
        <v>0</v>
      </c>
      <c r="F14" s="14">
        <v>1</v>
      </c>
      <c r="G14" s="11">
        <f t="shared" si="0"/>
        <v>6.6149999999999998E-4</v>
      </c>
      <c r="H14" s="11">
        <f t="shared" si="1"/>
        <v>1.3027E-3</v>
      </c>
      <c r="I14" s="11">
        <f t="shared" si="2"/>
        <v>0</v>
      </c>
      <c r="J14" s="8" t="str">
        <f>CONCATENATE("New line.",A14,"-",B14)</f>
        <v>New line.6-13</v>
      </c>
      <c r="K14" s="8" t="str">
        <f>CONCATENATE("Bus1=B",A14)</f>
        <v>Bus1=B6</v>
      </c>
      <c r="L14" s="8" t="str">
        <f>CONCATENATE("Bus2=B",B14)</f>
        <v>Bus2=B13</v>
      </c>
      <c r="M14" s="8" t="str">
        <f t="shared" si="3"/>
        <v>R1=0.0006615</v>
      </c>
      <c r="N14" s="8" t="str">
        <f t="shared" si="4"/>
        <v>X1=0.0013027</v>
      </c>
      <c r="O14" s="8" t="str">
        <f t="shared" si="5"/>
        <v>B1=0.000000</v>
      </c>
      <c r="P14" s="8" t="s">
        <v>70</v>
      </c>
    </row>
    <row r="15" spans="1:16">
      <c r="A15" s="4">
        <v>7</v>
      </c>
      <c r="B15" s="4">
        <v>8</v>
      </c>
      <c r="C15" s="7">
        <v>0</v>
      </c>
      <c r="D15" s="7">
        <v>0.17615</v>
      </c>
      <c r="E15" s="7">
        <v>0</v>
      </c>
      <c r="F15" s="14">
        <v>1</v>
      </c>
      <c r="G15" s="11">
        <f t="shared" si="0"/>
        <v>0</v>
      </c>
      <c r="H15" s="11">
        <f t="shared" si="1"/>
        <v>1.7615E-3</v>
      </c>
      <c r="I15" s="11">
        <f t="shared" si="2"/>
        <v>0</v>
      </c>
      <c r="J15" s="8" t="str">
        <f>CONCATENATE("New line.",A15,"-",B15)</f>
        <v>New line.7-8</v>
      </c>
      <c r="K15" s="8" t="str">
        <f>CONCATENATE("Bus1=B",A15)</f>
        <v>Bus1=B7</v>
      </c>
      <c r="L15" s="8" t="str">
        <f>CONCATENATE("Bus2=B",B15)</f>
        <v>Bus2=B8</v>
      </c>
      <c r="M15" s="8" t="str">
        <f t="shared" si="3"/>
        <v>R1=0</v>
      </c>
      <c r="N15" s="8" t="str">
        <f t="shared" si="4"/>
        <v>X1=0.0017615</v>
      </c>
      <c r="O15" s="8" t="str">
        <f t="shared" si="5"/>
        <v>B1=0.000000</v>
      </c>
      <c r="P15" s="8" t="s">
        <v>70</v>
      </c>
    </row>
    <row r="16" spans="1:16">
      <c r="A16" s="4">
        <v>7</v>
      </c>
      <c r="B16" s="4">
        <v>9</v>
      </c>
      <c r="C16" s="7">
        <v>0</v>
      </c>
      <c r="D16" s="7">
        <v>0.11001</v>
      </c>
      <c r="E16" s="7">
        <v>0</v>
      </c>
      <c r="F16" s="14">
        <v>1</v>
      </c>
      <c r="G16" s="11">
        <f t="shared" si="0"/>
        <v>0</v>
      </c>
      <c r="H16" s="11">
        <f t="shared" si="1"/>
        <v>1.1000999999999999E-3</v>
      </c>
      <c r="I16" s="11">
        <f t="shared" si="2"/>
        <v>0</v>
      </c>
      <c r="J16" s="8" t="str">
        <f>CONCATENATE("New line.",A16,"-",B16)</f>
        <v>New line.7-9</v>
      </c>
      <c r="K16" s="8" t="str">
        <f>CONCATENATE("Bus1=B",A16)</f>
        <v>Bus1=B7</v>
      </c>
      <c r="L16" s="8" t="str">
        <f>CONCATENATE("Bus2=B",B16)</f>
        <v>Bus2=B9</v>
      </c>
      <c r="M16" s="8" t="str">
        <f t="shared" si="3"/>
        <v>R1=0</v>
      </c>
      <c r="N16" s="8" t="str">
        <f t="shared" si="4"/>
        <v>X1=0.0011001</v>
      </c>
      <c r="O16" s="8" t="str">
        <f t="shared" si="5"/>
        <v>B1=0.000000</v>
      </c>
      <c r="P16" s="8" t="s">
        <v>70</v>
      </c>
    </row>
    <row r="17" spans="1:16">
      <c r="A17" s="4">
        <v>9</v>
      </c>
      <c r="B17" s="4">
        <v>10</v>
      </c>
      <c r="C17" s="7">
        <v>3.1809999999999998E-2</v>
      </c>
      <c r="D17" s="7">
        <v>8.4500000000000006E-2</v>
      </c>
      <c r="E17" s="7">
        <v>0</v>
      </c>
      <c r="F17" s="14">
        <v>1</v>
      </c>
      <c r="G17" s="11">
        <f t="shared" si="0"/>
        <v>3.1809999999999998E-4</v>
      </c>
      <c r="H17" s="11">
        <f t="shared" si="1"/>
        <v>8.4500000000000005E-4</v>
      </c>
      <c r="I17" s="11">
        <f t="shared" si="2"/>
        <v>0</v>
      </c>
      <c r="J17" s="8" t="str">
        <f>CONCATENATE("New line.",A17,"-",B17)</f>
        <v>New line.9-10</v>
      </c>
      <c r="K17" s="8" t="str">
        <f>CONCATENATE("Bus1=B",A17)</f>
        <v>Bus1=B9</v>
      </c>
      <c r="L17" s="8" t="str">
        <f>CONCATENATE("Bus2=B",B17)</f>
        <v>Bus2=B10</v>
      </c>
      <c r="M17" s="8" t="str">
        <f t="shared" si="3"/>
        <v>R1=0.0003181</v>
      </c>
      <c r="N17" s="8" t="str">
        <f t="shared" si="4"/>
        <v>X1=0.000845</v>
      </c>
      <c r="O17" s="8" t="str">
        <f t="shared" si="5"/>
        <v>B1=0.000000</v>
      </c>
      <c r="P17" s="8" t="s">
        <v>70</v>
      </c>
    </row>
    <row r="18" spans="1:16">
      <c r="A18" s="4">
        <v>9</v>
      </c>
      <c r="B18" s="4">
        <v>14</v>
      </c>
      <c r="C18" s="7">
        <v>0.12711</v>
      </c>
      <c r="D18" s="7">
        <v>0.27038000000000001</v>
      </c>
      <c r="E18" s="7">
        <v>0</v>
      </c>
      <c r="F18" s="14">
        <v>1</v>
      </c>
      <c r="G18" s="11">
        <f t="shared" si="0"/>
        <v>1.2711000000000001E-3</v>
      </c>
      <c r="H18" s="11">
        <f t="shared" si="1"/>
        <v>2.7038000000000001E-3</v>
      </c>
      <c r="I18" s="11">
        <f t="shared" si="2"/>
        <v>0</v>
      </c>
      <c r="J18" s="8" t="str">
        <f>CONCATENATE("New line.",A18,"-",B18)</f>
        <v>New line.9-14</v>
      </c>
      <c r="K18" s="8" t="str">
        <f>CONCATENATE("Bus1=B",A18)</f>
        <v>Bus1=B9</v>
      </c>
      <c r="L18" s="8" t="str">
        <f>CONCATENATE("Bus2=B",B18)</f>
        <v>Bus2=B14</v>
      </c>
      <c r="M18" s="8" t="str">
        <f t="shared" si="3"/>
        <v>R1=0.0012711</v>
      </c>
      <c r="N18" s="8" t="str">
        <f t="shared" si="4"/>
        <v>X1=0.0027038</v>
      </c>
      <c r="O18" s="8" t="str">
        <f t="shared" si="5"/>
        <v>B1=0.000000</v>
      </c>
      <c r="P18" s="8" t="s">
        <v>70</v>
      </c>
    </row>
    <row r="19" spans="1:16">
      <c r="A19" s="4">
        <v>10</v>
      </c>
      <c r="B19" s="4">
        <v>11</v>
      </c>
      <c r="C19" s="7">
        <v>8.2049999999999998E-2</v>
      </c>
      <c r="D19" s="7">
        <v>0.19206999999999999</v>
      </c>
      <c r="E19" s="7">
        <v>0</v>
      </c>
      <c r="F19" s="14">
        <v>1</v>
      </c>
      <c r="G19" s="11">
        <f t="shared" si="0"/>
        <v>8.2049999999999994E-4</v>
      </c>
      <c r="H19" s="11">
        <f t="shared" si="1"/>
        <v>1.9207E-3</v>
      </c>
      <c r="I19" s="11">
        <f t="shared" si="2"/>
        <v>0</v>
      </c>
      <c r="J19" s="8" t="str">
        <f>CONCATENATE("New line.",A19,"-",B19)</f>
        <v>New line.10-11</v>
      </c>
      <c r="K19" s="8" t="str">
        <f>CONCATENATE("Bus1=B",A19)</f>
        <v>Bus1=B10</v>
      </c>
      <c r="L19" s="8" t="str">
        <f>CONCATENATE("Bus2=B",B19)</f>
        <v>Bus2=B11</v>
      </c>
      <c r="M19" s="8" t="str">
        <f t="shared" si="3"/>
        <v>R1=0.0008205</v>
      </c>
      <c r="N19" s="8" t="str">
        <f t="shared" si="4"/>
        <v>X1=0.0019207</v>
      </c>
      <c r="O19" s="8" t="str">
        <f t="shared" si="5"/>
        <v>B1=0.000000</v>
      </c>
      <c r="P19" s="8" t="s">
        <v>70</v>
      </c>
    </row>
    <row r="20" spans="1:16">
      <c r="A20" s="4">
        <v>12</v>
      </c>
      <c r="B20" s="4">
        <v>13</v>
      </c>
      <c r="C20" s="7">
        <v>0.22092000000000001</v>
      </c>
      <c r="D20" s="7">
        <v>0.19988</v>
      </c>
      <c r="E20" s="7">
        <v>0</v>
      </c>
      <c r="F20" s="14">
        <v>1</v>
      </c>
      <c r="G20" s="11">
        <f t="shared" si="0"/>
        <v>2.2092000000000001E-3</v>
      </c>
      <c r="H20" s="11">
        <f t="shared" si="1"/>
        <v>1.9988000000000002E-3</v>
      </c>
      <c r="I20" s="11">
        <f t="shared" si="2"/>
        <v>0</v>
      </c>
      <c r="J20" s="8" t="str">
        <f>CONCATENATE("New line.",A20,"-",B20)</f>
        <v>New line.12-13</v>
      </c>
      <c r="K20" s="8" t="str">
        <f>CONCATENATE("Bus1=B",A20)</f>
        <v>Bus1=B12</v>
      </c>
      <c r="L20" s="8" t="str">
        <f>CONCATENATE("Bus2=B",B20)</f>
        <v>Bus2=B13</v>
      </c>
      <c r="M20" s="8" t="str">
        <f t="shared" si="3"/>
        <v>R1=0.0022092</v>
      </c>
      <c r="N20" s="8" t="str">
        <f t="shared" si="4"/>
        <v>X1=0.0019988</v>
      </c>
      <c r="O20" s="8" t="str">
        <f t="shared" si="5"/>
        <v>B1=0.000000</v>
      </c>
      <c r="P20" s="8" t="s">
        <v>70</v>
      </c>
    </row>
    <row r="21" spans="1:16">
      <c r="A21" s="4">
        <v>13</v>
      </c>
      <c r="B21" s="4">
        <v>14</v>
      </c>
      <c r="C21" s="7">
        <v>0.17093</v>
      </c>
      <c r="D21" s="7">
        <v>0.34802</v>
      </c>
      <c r="E21" s="7">
        <v>0</v>
      </c>
      <c r="F21" s="14">
        <v>1</v>
      </c>
      <c r="G21" s="11">
        <f t="shared" si="0"/>
        <v>1.7093E-3</v>
      </c>
      <c r="H21" s="11">
        <f t="shared" si="1"/>
        <v>3.4802000000000001E-3</v>
      </c>
      <c r="I21" s="11">
        <f t="shared" si="2"/>
        <v>0</v>
      </c>
      <c r="J21" s="8" t="str">
        <f>CONCATENATE("New line.",A21,"-",B21)</f>
        <v>New line.13-14</v>
      </c>
      <c r="K21" s="8" t="str">
        <f>CONCATENATE("Bus1=B",A21)</f>
        <v>Bus1=B13</v>
      </c>
      <c r="L21" s="8" t="str">
        <f>CONCATENATE("Bus2=B",B21)</f>
        <v>Bus2=B14</v>
      </c>
      <c r="M21" s="8" t="str">
        <f t="shared" si="3"/>
        <v>R1=0.0017093</v>
      </c>
      <c r="N21" s="8" t="str">
        <f t="shared" si="4"/>
        <v>X1=0.0034802</v>
      </c>
      <c r="O21" s="8" t="str">
        <f t="shared" si="5"/>
        <v>B1=0.000000</v>
      </c>
      <c r="P21" s="8" t="s">
        <v>70</v>
      </c>
    </row>
    <row r="23" spans="1:16">
      <c r="A23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workbookViewId="0">
      <selection activeCell="A8" sqref="A8"/>
    </sheetView>
  </sheetViews>
  <sheetFormatPr defaultRowHeight="15"/>
  <cols>
    <col min="1" max="1" width="8.140625" customWidth="1"/>
    <col min="2" max="2" width="4" customWidth="1"/>
    <col min="3" max="4" width="12" bestFit="1" customWidth="1"/>
    <col min="5" max="5" width="6.5703125" customWidth="1"/>
    <col min="6" max="6" width="6.140625" customWidth="1"/>
    <col min="7" max="7" width="6" customWidth="1"/>
    <col min="8" max="8" width="18.5703125" bestFit="1" customWidth="1"/>
    <col min="9" max="9" width="9.28515625" customWidth="1"/>
    <col min="10" max="10" width="7.28515625" customWidth="1"/>
    <col min="11" max="11" width="20.7109375" bestFit="1" customWidth="1"/>
    <col min="12" max="12" width="8.7109375" customWidth="1"/>
    <col min="13" max="13" width="10.140625" bestFit="1" customWidth="1"/>
    <col min="14" max="14" width="14.5703125" bestFit="1" customWidth="1"/>
    <col min="15" max="15" width="15" bestFit="1" customWidth="1"/>
    <col min="16" max="16" width="1.7109375" customWidth="1"/>
    <col min="17" max="17" width="22.42578125" bestFit="1" customWidth="1"/>
  </cols>
  <sheetData>
    <row r="1" spans="1:17">
      <c r="A1" s="4" t="s">
        <v>17</v>
      </c>
      <c r="B1" s="9" t="s">
        <v>71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</row>
    <row r="2" spans="1:17">
      <c r="A2" s="4">
        <v>1</v>
      </c>
      <c r="B2" s="4">
        <v>1</v>
      </c>
      <c r="C2" s="4">
        <v>232.39327235325766</v>
      </c>
      <c r="D2" s="4">
        <v>-16.54930054208819</v>
      </c>
      <c r="E2" s="4">
        <v>10</v>
      </c>
      <c r="F2" s="4">
        <v>0</v>
      </c>
      <c r="G2" s="4">
        <v>1.06</v>
      </c>
      <c r="H2" s="12" t="str">
        <f>CONCATENATE("New Generator.B",A2)</f>
        <v>New Generator.B1</v>
      </c>
      <c r="I2" s="12" t="str">
        <f>CONCATENATE("Bus1=B",A2)</f>
        <v>Bus1=B1</v>
      </c>
      <c r="J2" s="12" t="str">
        <f>CONCATENATE("kV=",B2)</f>
        <v>kV=1</v>
      </c>
      <c r="K2" s="12" t="str">
        <f>CONCATENATE("kW=",C2*1000)</f>
        <v>kW=232393.272353258</v>
      </c>
      <c r="L2" s="12" t="s">
        <v>72</v>
      </c>
      <c r="M2" s="12" t="str">
        <f>CONCATENATE("Vpu=",G2)</f>
        <v>Vpu=1.06</v>
      </c>
      <c r="N2" s="12" t="str">
        <f>CONCATENATE("Maxkvar=",E2*1000)</f>
        <v>Maxkvar=10000</v>
      </c>
      <c r="O2" s="12" t="str">
        <f>CONCATENATE("Minkvar=",F2*1000)</f>
        <v>Minkvar=0</v>
      </c>
      <c r="P2" s="12" t="s">
        <v>73</v>
      </c>
      <c r="Q2" s="12" t="str">
        <f>CONCATENATE("kvar=",D2*1000)</f>
        <v>kvar=-16549.3005420882</v>
      </c>
    </row>
    <row r="3" spans="1:17">
      <c r="A3" s="4">
        <v>2</v>
      </c>
      <c r="B3" s="4">
        <v>1</v>
      </c>
      <c r="C3" s="4">
        <v>40</v>
      </c>
      <c r="D3" s="4">
        <v>43.55710013352838</v>
      </c>
      <c r="E3" s="4">
        <v>50</v>
      </c>
      <c r="F3" s="4">
        <v>-40</v>
      </c>
      <c r="G3" s="4">
        <v>1.0449999999999999</v>
      </c>
      <c r="H3" s="12" t="str">
        <f t="shared" ref="H3:H6" si="0">CONCATENATE("New Generator.B",A3)</f>
        <v>New Generator.B2</v>
      </c>
      <c r="I3" s="12" t="str">
        <f t="shared" ref="I3:I6" si="1">CONCATENATE("Bus1=B",A3)</f>
        <v>Bus1=B2</v>
      </c>
      <c r="J3" s="12" t="str">
        <f t="shared" ref="J3:J6" si="2">CONCATENATE("kV=",B3)</f>
        <v>kV=1</v>
      </c>
      <c r="K3" s="12" t="str">
        <f t="shared" ref="K3:K6" si="3">CONCATENATE("kW=",C3*1000)</f>
        <v>kW=40000</v>
      </c>
      <c r="L3" s="12" t="s">
        <v>72</v>
      </c>
      <c r="M3" s="12" t="str">
        <f t="shared" ref="M3:M6" si="4">CONCATENATE("Vpu=",G3)</f>
        <v>Vpu=1.045</v>
      </c>
      <c r="N3" s="12" t="str">
        <f t="shared" ref="N3:N6" si="5">CONCATENATE("Maxkvar=",E3*1000)</f>
        <v>Maxkvar=50000</v>
      </c>
      <c r="O3" s="12" t="str">
        <f t="shared" ref="O3:O6" si="6">CONCATENATE("Minkvar=",F3*1000)</f>
        <v>Minkvar=-40000</v>
      </c>
      <c r="P3" s="12" t="s">
        <v>73</v>
      </c>
      <c r="Q3" s="12" t="str">
        <f t="shared" ref="Q3:Q6" si="7">CONCATENATE("kvar=",D3*1000)</f>
        <v>kvar=43557.1001335284</v>
      </c>
    </row>
    <row r="4" spans="1:17">
      <c r="A4" s="4">
        <v>3</v>
      </c>
      <c r="B4" s="4">
        <v>1</v>
      </c>
      <c r="C4" s="4">
        <f>1/1000</f>
        <v>1E-3</v>
      </c>
      <c r="D4" s="4">
        <v>25.075348495409862</v>
      </c>
      <c r="E4" s="4">
        <v>40</v>
      </c>
      <c r="F4" s="4">
        <v>0</v>
      </c>
      <c r="G4" s="4">
        <v>1.01</v>
      </c>
      <c r="H4" s="12" t="str">
        <f t="shared" si="0"/>
        <v>New Generator.B3</v>
      </c>
      <c r="I4" s="12" t="str">
        <f t="shared" si="1"/>
        <v>Bus1=B3</v>
      </c>
      <c r="J4" s="12" t="str">
        <f t="shared" si="2"/>
        <v>kV=1</v>
      </c>
      <c r="K4" s="12" t="str">
        <f t="shared" si="3"/>
        <v>kW=1</v>
      </c>
      <c r="L4" s="12" t="s">
        <v>72</v>
      </c>
      <c r="M4" s="12" t="str">
        <f t="shared" si="4"/>
        <v>Vpu=1.01</v>
      </c>
      <c r="N4" s="12" t="str">
        <f t="shared" si="5"/>
        <v>Maxkvar=40000</v>
      </c>
      <c r="O4" s="12" t="str">
        <f t="shared" si="6"/>
        <v>Minkvar=0</v>
      </c>
      <c r="P4" s="12" t="s">
        <v>73</v>
      </c>
      <c r="Q4" s="12" t="str">
        <f t="shared" si="7"/>
        <v>kvar=25075.3484954099</v>
      </c>
    </row>
    <row r="5" spans="1:17">
      <c r="A5" s="4">
        <v>6</v>
      </c>
      <c r="B5" s="4">
        <v>1</v>
      </c>
      <c r="C5" s="4">
        <f t="shared" ref="C5:C6" si="8">1/1000</f>
        <v>1E-3</v>
      </c>
      <c r="D5" s="4">
        <v>12.730944404601182</v>
      </c>
      <c r="E5" s="4">
        <v>24</v>
      </c>
      <c r="F5" s="4">
        <v>-6</v>
      </c>
      <c r="G5" s="4">
        <v>1.07</v>
      </c>
      <c r="H5" s="12" t="str">
        <f t="shared" si="0"/>
        <v>New Generator.B6</v>
      </c>
      <c r="I5" s="12" t="str">
        <f t="shared" si="1"/>
        <v>Bus1=B6</v>
      </c>
      <c r="J5" s="12" t="str">
        <f t="shared" si="2"/>
        <v>kV=1</v>
      </c>
      <c r="K5" s="12" t="str">
        <f t="shared" si="3"/>
        <v>kW=1</v>
      </c>
      <c r="L5" s="12" t="s">
        <v>72</v>
      </c>
      <c r="M5" s="12" t="str">
        <f t="shared" si="4"/>
        <v>Vpu=1.07</v>
      </c>
      <c r="N5" s="12" t="str">
        <f t="shared" si="5"/>
        <v>Maxkvar=24000</v>
      </c>
      <c r="O5" s="12" t="str">
        <f t="shared" si="6"/>
        <v>Minkvar=-6000</v>
      </c>
      <c r="P5" s="12" t="s">
        <v>73</v>
      </c>
      <c r="Q5" s="12" t="str">
        <f t="shared" si="7"/>
        <v>kvar=12730.9444046012</v>
      </c>
    </row>
    <row r="6" spans="1:17">
      <c r="A6" s="4">
        <v>8</v>
      </c>
      <c r="B6" s="4">
        <v>1</v>
      </c>
      <c r="C6" s="4">
        <f t="shared" si="8"/>
        <v>1E-3</v>
      </c>
      <c r="D6" s="4">
        <v>17.623451366399202</v>
      </c>
      <c r="E6" s="4">
        <v>24</v>
      </c>
      <c r="F6" s="4">
        <v>-6</v>
      </c>
      <c r="G6" s="4">
        <v>1.0900000000000001</v>
      </c>
      <c r="H6" s="12" t="str">
        <f t="shared" si="0"/>
        <v>New Generator.B8</v>
      </c>
      <c r="I6" s="12" t="str">
        <f t="shared" si="1"/>
        <v>Bus1=B8</v>
      </c>
      <c r="J6" s="12" t="str">
        <f t="shared" si="2"/>
        <v>kV=1</v>
      </c>
      <c r="K6" s="12" t="str">
        <f t="shared" si="3"/>
        <v>kW=1</v>
      </c>
      <c r="L6" s="12" t="s">
        <v>72</v>
      </c>
      <c r="M6" s="12" t="str">
        <f t="shared" si="4"/>
        <v>Vpu=1.09</v>
      </c>
      <c r="N6" s="12" t="str">
        <f t="shared" si="5"/>
        <v>Maxkvar=24000</v>
      </c>
      <c r="O6" s="12" t="str">
        <f t="shared" si="6"/>
        <v>Minkvar=-6000</v>
      </c>
      <c r="P6" s="12" t="s">
        <v>73</v>
      </c>
      <c r="Q6" s="12" t="str">
        <f t="shared" si="7"/>
        <v>kvar=17623.4513663992</v>
      </c>
    </row>
    <row r="8" spans="1:17">
      <c r="A8" t="s">
        <v>87</v>
      </c>
      <c r="D8" s="10"/>
      <c r="G8" s="10"/>
      <c r="I8" s="10"/>
      <c r="J8" s="10"/>
      <c r="K8" s="10"/>
      <c r="M8" s="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Views>
    <sheetView tabSelected="1" workbookViewId="0">
      <selection activeCell="E16" sqref="E16"/>
    </sheetView>
  </sheetViews>
  <sheetFormatPr defaultRowHeight="15"/>
  <cols>
    <col min="5" max="7" width="8.5703125" customWidth="1"/>
    <col min="8" max="8" width="6" customWidth="1"/>
    <col min="9" max="9" width="20" customWidth="1"/>
    <col min="10" max="10" width="20.5703125" bestFit="1" customWidth="1"/>
    <col min="11" max="11" width="10.85546875" customWidth="1"/>
    <col min="12" max="13" width="7" customWidth="1"/>
    <col min="14" max="14" width="4.140625" customWidth="1"/>
    <col min="15" max="15" width="7.28515625" bestFit="1" customWidth="1"/>
    <col min="16" max="16" width="7.28515625" customWidth="1"/>
    <col min="17" max="17" width="9.7109375" bestFit="1" customWidth="1"/>
    <col min="18" max="18" width="7" customWidth="1"/>
    <col min="19" max="19" width="4.140625" customWidth="1"/>
    <col min="20" max="20" width="6.28515625" bestFit="1" customWidth="1"/>
    <col min="21" max="21" width="7.28515625" customWidth="1"/>
    <col min="22" max="22" width="11.85546875" bestFit="1" customWidth="1"/>
  </cols>
  <sheetData>
    <row r="1" spans="1:22">
      <c r="A1" s="2" t="s">
        <v>0</v>
      </c>
      <c r="B1" s="2" t="s">
        <v>1</v>
      </c>
      <c r="C1" s="2" t="s">
        <v>74</v>
      </c>
      <c r="D1" s="2" t="s">
        <v>75</v>
      </c>
      <c r="E1" s="2" t="s">
        <v>2</v>
      </c>
      <c r="F1" s="2" t="s">
        <v>3</v>
      </c>
      <c r="G1" s="2" t="s">
        <v>4</v>
      </c>
      <c r="H1" s="3" t="s">
        <v>8</v>
      </c>
    </row>
    <row r="2" spans="1:22">
      <c r="A2" s="4">
        <v>4</v>
      </c>
      <c r="B2" s="4">
        <v>7</v>
      </c>
      <c r="C2" s="4">
        <v>1</v>
      </c>
      <c r="D2" s="4">
        <v>1</v>
      </c>
      <c r="E2" s="7">
        <v>0</v>
      </c>
      <c r="F2" s="7">
        <v>2.0912000000000001E-3</v>
      </c>
      <c r="G2" s="7">
        <v>0</v>
      </c>
      <c r="H2" s="4">
        <v>0.97799999999999998</v>
      </c>
      <c r="I2" s="12" t="str">
        <f>CONCATENATE("New Transformer.",A2,"-",B2)</f>
        <v>New Transformer.4-7</v>
      </c>
      <c r="J2" s="13" t="s">
        <v>76</v>
      </c>
      <c r="K2" s="12" t="str">
        <f>CONCATENATE("XHL=",F2*10000)</f>
        <v>XHL=20.912</v>
      </c>
      <c r="L2" s="12" t="s">
        <v>77</v>
      </c>
      <c r="M2" s="12" t="s">
        <v>78</v>
      </c>
      <c r="N2" s="12" t="s">
        <v>79</v>
      </c>
      <c r="O2" s="12" t="str">
        <f>CONCATENATE("kV=",C2)</f>
        <v>kV=1</v>
      </c>
      <c r="P2" s="12" t="str">
        <f>CONCATENATE("Bus=B",A2)</f>
        <v>Bus=B4</v>
      </c>
      <c r="Q2" s="12" t="str">
        <f>CONCATENATE("Tap=",H2)</f>
        <v>Tap=0.978</v>
      </c>
      <c r="R2" s="13" t="s">
        <v>80</v>
      </c>
      <c r="S2" s="12" t="s">
        <v>79</v>
      </c>
      <c r="T2" s="12" t="str">
        <f>CONCATENATE("kV=",D2)</f>
        <v>kV=1</v>
      </c>
      <c r="U2" s="12" t="str">
        <f>CONCATENATE("Bus=B",B2)</f>
        <v>Bus=B7</v>
      </c>
      <c r="V2" s="12" t="s">
        <v>81</v>
      </c>
    </row>
    <row r="3" spans="1:22">
      <c r="A3" s="4">
        <v>4</v>
      </c>
      <c r="B3" s="4">
        <v>9</v>
      </c>
      <c r="C3" s="4">
        <v>1</v>
      </c>
      <c r="D3" s="4">
        <v>1</v>
      </c>
      <c r="E3" s="7">
        <v>0</v>
      </c>
      <c r="F3" s="7">
        <v>5.5618000000000004E-3</v>
      </c>
      <c r="G3" s="7">
        <v>0</v>
      </c>
      <c r="H3" s="4">
        <v>0.96899999999999997</v>
      </c>
      <c r="I3" s="12" t="str">
        <f t="shared" ref="I3:I4" si="0">CONCATENATE("New Transformer.",A3,"-",B3)</f>
        <v>New Transformer.4-9</v>
      </c>
      <c r="J3" s="13" t="s">
        <v>76</v>
      </c>
      <c r="K3" s="12" t="str">
        <f t="shared" ref="K3:K4" si="1">CONCATENATE("XHL=",F3*10000)</f>
        <v>XHL=55.618</v>
      </c>
      <c r="L3" s="12" t="s">
        <v>77</v>
      </c>
      <c r="M3" s="12" t="s">
        <v>78</v>
      </c>
      <c r="N3" s="12" t="s">
        <v>79</v>
      </c>
      <c r="O3" s="12" t="str">
        <f t="shared" ref="O3:O4" si="2">CONCATENATE("kV=",C3)</f>
        <v>kV=1</v>
      </c>
      <c r="P3" s="12" t="str">
        <f t="shared" ref="P3:P4" si="3">CONCATENATE("Bus=B",A3)</f>
        <v>Bus=B4</v>
      </c>
      <c r="Q3" s="12" t="str">
        <f t="shared" ref="Q3:Q4" si="4">CONCATENATE("Tap=",H3)</f>
        <v>Tap=0.969</v>
      </c>
      <c r="R3" s="13" t="s">
        <v>80</v>
      </c>
      <c r="S3" s="12" t="s">
        <v>79</v>
      </c>
      <c r="T3" s="12" t="str">
        <f t="shared" ref="T3:T4" si="5">CONCATENATE("kV=",D3)</f>
        <v>kV=1</v>
      </c>
      <c r="U3" s="12" t="str">
        <f t="shared" ref="U3:U4" si="6">CONCATENATE("Bus=B",B3)</f>
        <v>Bus=B9</v>
      </c>
      <c r="V3" s="12" t="s">
        <v>81</v>
      </c>
    </row>
    <row r="4" spans="1:22">
      <c r="A4" s="4">
        <v>5</v>
      </c>
      <c r="B4" s="4">
        <v>6</v>
      </c>
      <c r="C4" s="4">
        <v>1</v>
      </c>
      <c r="D4" s="4">
        <v>1</v>
      </c>
      <c r="E4" s="7">
        <v>0</v>
      </c>
      <c r="F4" s="7">
        <v>2.5202000000000002E-3</v>
      </c>
      <c r="G4" s="7">
        <v>0</v>
      </c>
      <c r="H4" s="4">
        <v>0.93200000000000005</v>
      </c>
      <c r="I4" s="12" t="str">
        <f t="shared" si="0"/>
        <v>New Transformer.5-6</v>
      </c>
      <c r="J4" s="13" t="s">
        <v>76</v>
      </c>
      <c r="K4" s="12" t="str">
        <f t="shared" si="1"/>
        <v>XHL=25.202</v>
      </c>
      <c r="L4" s="12" t="s">
        <v>77</v>
      </c>
      <c r="M4" s="12" t="s">
        <v>78</v>
      </c>
      <c r="N4" s="12" t="s">
        <v>79</v>
      </c>
      <c r="O4" s="12" t="str">
        <f t="shared" si="2"/>
        <v>kV=1</v>
      </c>
      <c r="P4" s="12" t="str">
        <f t="shared" si="3"/>
        <v>Bus=B5</v>
      </c>
      <c r="Q4" s="12" t="str">
        <f t="shared" si="4"/>
        <v>Tap=0.932</v>
      </c>
      <c r="R4" s="13" t="s">
        <v>80</v>
      </c>
      <c r="S4" s="12" t="s">
        <v>79</v>
      </c>
      <c r="T4" s="12" t="str">
        <f t="shared" si="5"/>
        <v>kV=1</v>
      </c>
      <c r="U4" s="12" t="str">
        <f t="shared" si="6"/>
        <v>Bus=B6</v>
      </c>
      <c r="V4" s="12" t="s">
        <v>81</v>
      </c>
    </row>
    <row r="6" spans="1:22">
      <c r="A6" t="s">
        <v>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selection activeCell="E14" sqref="E14"/>
    </sheetView>
  </sheetViews>
  <sheetFormatPr defaultRowHeight="15"/>
  <cols>
    <col min="1" max="1" width="5.5703125" customWidth="1"/>
    <col min="2" max="2" width="4" customWidth="1"/>
    <col min="3" max="3" width="5" customWidth="1"/>
    <col min="4" max="4" width="5.7109375" customWidth="1"/>
    <col min="5" max="5" width="8" customWidth="1"/>
    <col min="6" max="6" width="8.28515625" customWidth="1"/>
    <col min="7" max="7" width="13.5703125" bestFit="1" customWidth="1"/>
    <col min="8" max="8" width="9.28515625" bestFit="1" customWidth="1"/>
    <col min="9" max="9" width="7.28515625" bestFit="1" customWidth="1"/>
    <col min="10" max="10" width="9.85546875" bestFit="1" customWidth="1"/>
    <col min="11" max="11" width="10.7109375" bestFit="1" customWidth="1"/>
    <col min="12" max="12" width="12.5703125" bestFit="1" customWidth="1"/>
    <col min="13" max="13" width="12.28515625" bestFit="1" customWidth="1"/>
  </cols>
  <sheetData>
    <row r="1" spans="1:13">
      <c r="A1" s="9" t="s">
        <v>82</v>
      </c>
      <c r="B1" s="9" t="s">
        <v>71</v>
      </c>
      <c r="C1" s="9" t="s">
        <v>83</v>
      </c>
      <c r="D1" s="9" t="s">
        <v>84</v>
      </c>
      <c r="E1" s="9" t="s">
        <v>85</v>
      </c>
      <c r="F1" s="9" t="s">
        <v>86</v>
      </c>
    </row>
    <row r="2" spans="1:13">
      <c r="A2" s="4">
        <v>2</v>
      </c>
      <c r="B2" s="4">
        <v>1</v>
      </c>
      <c r="C2" s="4">
        <v>21.7</v>
      </c>
      <c r="D2" s="4">
        <v>12.7</v>
      </c>
      <c r="E2" s="4">
        <v>1.06</v>
      </c>
      <c r="F2" s="4">
        <v>0.94</v>
      </c>
      <c r="G2" s="12" t="str">
        <f>CONCATENATE("New Load.B",A2)</f>
        <v>New Load.B2</v>
      </c>
      <c r="H2" s="12" t="str">
        <f>CONCATENATE("Bus1=B",A2)</f>
        <v>Bus1=B2</v>
      </c>
      <c r="I2" s="12" t="str">
        <f>CONCATENATE("kV=",B2)</f>
        <v>kV=1</v>
      </c>
      <c r="J2" s="12" t="str">
        <f>CONCATENATE("kW=",C2*1000)</f>
        <v>kW=21700</v>
      </c>
      <c r="K2" s="12" t="str">
        <f>CONCATENATE("kvar=",D2*1000)</f>
        <v>kvar=12700</v>
      </c>
      <c r="L2" s="12" t="str">
        <f>CONCATENATE("vmaxpu=",E2)</f>
        <v>vmaxpu=1.06</v>
      </c>
      <c r="M2" s="12" t="str">
        <f>CONCATENATE("vminpu=",F2)</f>
        <v>vminpu=0.94</v>
      </c>
    </row>
    <row r="3" spans="1:13">
      <c r="A3" s="4">
        <v>3</v>
      </c>
      <c r="B3" s="4">
        <v>1</v>
      </c>
      <c r="C3" s="4">
        <v>94.2</v>
      </c>
      <c r="D3" s="4">
        <v>19</v>
      </c>
      <c r="E3" s="4">
        <v>1.06</v>
      </c>
      <c r="F3" s="4">
        <v>0.94</v>
      </c>
      <c r="G3" s="12" t="str">
        <f t="shared" ref="G3:G12" si="0">CONCATENATE("New Load.B",A3)</f>
        <v>New Load.B3</v>
      </c>
      <c r="H3" s="12" t="str">
        <f t="shared" ref="H3:H12" si="1">CONCATENATE("Bus1=B",A3)</f>
        <v>Bus1=B3</v>
      </c>
      <c r="I3" s="12" t="str">
        <f t="shared" ref="I3:I12" si="2">CONCATENATE("kV=",B3)</f>
        <v>kV=1</v>
      </c>
      <c r="J3" s="12" t="str">
        <f t="shared" ref="J3:J12" si="3">CONCATENATE("kW=",C3*1000)</f>
        <v>kW=94200</v>
      </c>
      <c r="K3" s="12" t="str">
        <f t="shared" ref="K3:K12" si="4">CONCATENATE("kvar=",D3*1000)</f>
        <v>kvar=19000</v>
      </c>
      <c r="L3" s="12" t="str">
        <f t="shared" ref="L3:L12" si="5">CONCATENATE("vmaxpu=",E3)</f>
        <v>vmaxpu=1.06</v>
      </c>
      <c r="M3" s="12" t="str">
        <f t="shared" ref="M3:M12" si="6">CONCATENATE("vminpu=",F3)</f>
        <v>vminpu=0.94</v>
      </c>
    </row>
    <row r="4" spans="1:13">
      <c r="A4" s="4">
        <v>4</v>
      </c>
      <c r="B4" s="4">
        <v>1</v>
      </c>
      <c r="C4" s="4">
        <v>47.8</v>
      </c>
      <c r="D4" s="4">
        <v>-3.9</v>
      </c>
      <c r="E4" s="4">
        <v>1.06</v>
      </c>
      <c r="F4" s="4">
        <v>0.94</v>
      </c>
      <c r="G4" s="12" t="str">
        <f t="shared" si="0"/>
        <v>New Load.B4</v>
      </c>
      <c r="H4" s="12" t="str">
        <f t="shared" si="1"/>
        <v>Bus1=B4</v>
      </c>
      <c r="I4" s="12" t="str">
        <f t="shared" si="2"/>
        <v>kV=1</v>
      </c>
      <c r="J4" s="12" t="str">
        <f t="shared" si="3"/>
        <v>kW=47800</v>
      </c>
      <c r="K4" s="12" t="str">
        <f t="shared" si="4"/>
        <v>kvar=-3900</v>
      </c>
      <c r="L4" s="12" t="str">
        <f t="shared" si="5"/>
        <v>vmaxpu=1.06</v>
      </c>
      <c r="M4" s="12" t="str">
        <f t="shared" si="6"/>
        <v>vminpu=0.94</v>
      </c>
    </row>
    <row r="5" spans="1:13">
      <c r="A5" s="4">
        <v>5</v>
      </c>
      <c r="B5" s="4">
        <v>1</v>
      </c>
      <c r="C5" s="4">
        <v>7.6</v>
      </c>
      <c r="D5" s="4">
        <v>1.6</v>
      </c>
      <c r="E5" s="4">
        <v>1.06</v>
      </c>
      <c r="F5" s="4">
        <v>0.94</v>
      </c>
      <c r="G5" s="12" t="str">
        <f t="shared" si="0"/>
        <v>New Load.B5</v>
      </c>
      <c r="H5" s="12" t="str">
        <f t="shared" si="1"/>
        <v>Bus1=B5</v>
      </c>
      <c r="I5" s="12" t="str">
        <f t="shared" si="2"/>
        <v>kV=1</v>
      </c>
      <c r="J5" s="12" t="str">
        <f t="shared" si="3"/>
        <v>kW=7600</v>
      </c>
      <c r="K5" s="12" t="str">
        <f t="shared" si="4"/>
        <v>kvar=1600</v>
      </c>
      <c r="L5" s="12" t="str">
        <f t="shared" si="5"/>
        <v>vmaxpu=1.06</v>
      </c>
      <c r="M5" s="12" t="str">
        <f t="shared" si="6"/>
        <v>vminpu=0.94</v>
      </c>
    </row>
    <row r="6" spans="1:13">
      <c r="A6" s="4">
        <v>6</v>
      </c>
      <c r="B6" s="4">
        <v>1</v>
      </c>
      <c r="C6" s="4">
        <v>11.2</v>
      </c>
      <c r="D6" s="4">
        <v>7.5</v>
      </c>
      <c r="E6" s="4">
        <v>1.06</v>
      </c>
      <c r="F6" s="4">
        <v>0.94</v>
      </c>
      <c r="G6" s="12" t="str">
        <f t="shared" si="0"/>
        <v>New Load.B6</v>
      </c>
      <c r="H6" s="12" t="str">
        <f t="shared" si="1"/>
        <v>Bus1=B6</v>
      </c>
      <c r="I6" s="12" t="str">
        <f t="shared" si="2"/>
        <v>kV=1</v>
      </c>
      <c r="J6" s="12" t="str">
        <f t="shared" si="3"/>
        <v>kW=11200</v>
      </c>
      <c r="K6" s="12" t="str">
        <f t="shared" si="4"/>
        <v>kvar=7500</v>
      </c>
      <c r="L6" s="12" t="str">
        <f t="shared" si="5"/>
        <v>vmaxpu=1.06</v>
      </c>
      <c r="M6" s="12" t="str">
        <f t="shared" si="6"/>
        <v>vminpu=0.94</v>
      </c>
    </row>
    <row r="7" spans="1:13">
      <c r="A7" s="4">
        <v>9</v>
      </c>
      <c r="B7" s="4">
        <v>1</v>
      </c>
      <c r="C7" s="4">
        <v>29.5</v>
      </c>
      <c r="D7" s="4">
        <v>16.600000000000001</v>
      </c>
      <c r="E7" s="4">
        <v>1.06</v>
      </c>
      <c r="F7" s="4">
        <v>0.94</v>
      </c>
      <c r="G7" s="12" t="str">
        <f t="shared" si="0"/>
        <v>New Load.B9</v>
      </c>
      <c r="H7" s="12" t="str">
        <f t="shared" si="1"/>
        <v>Bus1=B9</v>
      </c>
      <c r="I7" s="12" t="str">
        <f t="shared" si="2"/>
        <v>kV=1</v>
      </c>
      <c r="J7" s="12" t="str">
        <f t="shared" si="3"/>
        <v>kW=29500</v>
      </c>
      <c r="K7" s="12" t="str">
        <f t="shared" si="4"/>
        <v>kvar=16600</v>
      </c>
      <c r="L7" s="12" t="str">
        <f t="shared" si="5"/>
        <v>vmaxpu=1.06</v>
      </c>
      <c r="M7" s="12" t="str">
        <f t="shared" si="6"/>
        <v>vminpu=0.94</v>
      </c>
    </row>
    <row r="8" spans="1:13">
      <c r="A8" s="4">
        <v>10</v>
      </c>
      <c r="B8" s="4">
        <v>1</v>
      </c>
      <c r="C8" s="4">
        <v>9</v>
      </c>
      <c r="D8" s="4">
        <v>5.8</v>
      </c>
      <c r="E8" s="4">
        <v>1.06</v>
      </c>
      <c r="F8" s="4">
        <v>0.94</v>
      </c>
      <c r="G8" s="12" t="str">
        <f t="shared" si="0"/>
        <v>New Load.B10</v>
      </c>
      <c r="H8" s="12" t="str">
        <f t="shared" si="1"/>
        <v>Bus1=B10</v>
      </c>
      <c r="I8" s="12" t="str">
        <f t="shared" si="2"/>
        <v>kV=1</v>
      </c>
      <c r="J8" s="12" t="str">
        <f t="shared" si="3"/>
        <v>kW=9000</v>
      </c>
      <c r="K8" s="12" t="str">
        <f t="shared" si="4"/>
        <v>kvar=5800</v>
      </c>
      <c r="L8" s="12" t="str">
        <f t="shared" si="5"/>
        <v>vmaxpu=1.06</v>
      </c>
      <c r="M8" s="12" t="str">
        <f t="shared" si="6"/>
        <v>vminpu=0.94</v>
      </c>
    </row>
    <row r="9" spans="1:13">
      <c r="A9" s="4">
        <v>11</v>
      </c>
      <c r="B9" s="4">
        <v>1</v>
      </c>
      <c r="C9" s="4">
        <v>3.5</v>
      </c>
      <c r="D9" s="4">
        <v>1.8</v>
      </c>
      <c r="E9" s="4">
        <v>1.06</v>
      </c>
      <c r="F9" s="4">
        <v>0.94</v>
      </c>
      <c r="G9" s="12" t="str">
        <f t="shared" si="0"/>
        <v>New Load.B11</v>
      </c>
      <c r="H9" s="12" t="str">
        <f t="shared" si="1"/>
        <v>Bus1=B11</v>
      </c>
      <c r="I9" s="12" t="str">
        <f t="shared" si="2"/>
        <v>kV=1</v>
      </c>
      <c r="J9" s="12" t="str">
        <f t="shared" si="3"/>
        <v>kW=3500</v>
      </c>
      <c r="K9" s="12" t="str">
        <f t="shared" si="4"/>
        <v>kvar=1800</v>
      </c>
      <c r="L9" s="12" t="str">
        <f t="shared" si="5"/>
        <v>vmaxpu=1.06</v>
      </c>
      <c r="M9" s="12" t="str">
        <f t="shared" si="6"/>
        <v>vminpu=0.94</v>
      </c>
    </row>
    <row r="10" spans="1:13">
      <c r="A10" s="4">
        <v>12</v>
      </c>
      <c r="B10" s="4">
        <v>1</v>
      </c>
      <c r="C10" s="4">
        <v>6.1</v>
      </c>
      <c r="D10" s="4">
        <v>1.6</v>
      </c>
      <c r="E10" s="4">
        <v>1.06</v>
      </c>
      <c r="F10" s="4">
        <v>0.94</v>
      </c>
      <c r="G10" s="12" t="str">
        <f t="shared" si="0"/>
        <v>New Load.B12</v>
      </c>
      <c r="H10" s="12" t="str">
        <f t="shared" si="1"/>
        <v>Bus1=B12</v>
      </c>
      <c r="I10" s="12" t="str">
        <f t="shared" si="2"/>
        <v>kV=1</v>
      </c>
      <c r="J10" s="12" t="str">
        <f t="shared" si="3"/>
        <v>kW=6100</v>
      </c>
      <c r="K10" s="12" t="str">
        <f t="shared" si="4"/>
        <v>kvar=1600</v>
      </c>
      <c r="L10" s="12" t="str">
        <f t="shared" si="5"/>
        <v>vmaxpu=1.06</v>
      </c>
      <c r="M10" s="12" t="str">
        <f t="shared" si="6"/>
        <v>vminpu=0.94</v>
      </c>
    </row>
    <row r="11" spans="1:13">
      <c r="A11" s="4">
        <v>13</v>
      </c>
      <c r="B11" s="4">
        <v>1</v>
      </c>
      <c r="C11" s="4">
        <v>13.5</v>
      </c>
      <c r="D11" s="4">
        <v>5.8</v>
      </c>
      <c r="E11" s="4">
        <v>1.06</v>
      </c>
      <c r="F11" s="4">
        <v>0.94</v>
      </c>
      <c r="G11" s="12" t="str">
        <f t="shared" si="0"/>
        <v>New Load.B13</v>
      </c>
      <c r="H11" s="12" t="str">
        <f t="shared" si="1"/>
        <v>Bus1=B13</v>
      </c>
      <c r="I11" s="12" t="str">
        <f t="shared" si="2"/>
        <v>kV=1</v>
      </c>
      <c r="J11" s="12" t="str">
        <f t="shared" si="3"/>
        <v>kW=13500</v>
      </c>
      <c r="K11" s="12" t="str">
        <f t="shared" si="4"/>
        <v>kvar=5800</v>
      </c>
      <c r="L11" s="12" t="str">
        <f t="shared" si="5"/>
        <v>vmaxpu=1.06</v>
      </c>
      <c r="M11" s="12" t="str">
        <f t="shared" si="6"/>
        <v>vminpu=0.94</v>
      </c>
    </row>
    <row r="12" spans="1:13">
      <c r="A12" s="4">
        <v>14</v>
      </c>
      <c r="B12" s="4">
        <v>1</v>
      </c>
      <c r="C12" s="4">
        <v>14.9</v>
      </c>
      <c r="D12" s="4">
        <v>5</v>
      </c>
      <c r="E12" s="4">
        <v>1.06</v>
      </c>
      <c r="F12" s="4">
        <v>0.94</v>
      </c>
      <c r="G12" s="12" t="str">
        <f t="shared" si="0"/>
        <v>New Load.B14</v>
      </c>
      <c r="H12" s="12" t="str">
        <f t="shared" si="1"/>
        <v>Bus1=B14</v>
      </c>
      <c r="I12" s="12" t="str">
        <f t="shared" si="2"/>
        <v>kV=1</v>
      </c>
      <c r="J12" s="12" t="str">
        <f t="shared" si="3"/>
        <v>kW=14900</v>
      </c>
      <c r="K12" s="12" t="str">
        <f t="shared" si="4"/>
        <v>kvar=5000</v>
      </c>
      <c r="L12" s="12" t="str">
        <f t="shared" si="5"/>
        <v>vmaxpu=1.06</v>
      </c>
      <c r="M12" s="12" t="str">
        <f t="shared" si="6"/>
        <v>vminpu=0.94</v>
      </c>
    </row>
    <row r="14" spans="1:13">
      <c r="A14" t="s">
        <v>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activeCell="D10" sqref="D10"/>
    </sheetView>
  </sheetViews>
  <sheetFormatPr defaultRowHeight="15"/>
  <cols>
    <col min="4" max="4" width="16.7109375" bestFit="1" customWidth="1"/>
    <col min="5" max="5" width="8.28515625" bestFit="1" customWidth="1"/>
    <col min="6" max="6" width="5.28515625" bestFit="1" customWidth="1"/>
    <col min="7" max="7" width="10.7109375" bestFit="1" customWidth="1"/>
  </cols>
  <sheetData>
    <row r="1" spans="1:7">
      <c r="A1" s="9" t="s">
        <v>82</v>
      </c>
      <c r="B1" s="9" t="s">
        <v>71</v>
      </c>
      <c r="C1" s="9" t="s">
        <v>84</v>
      </c>
      <c r="D1" s="6"/>
      <c r="E1" s="6"/>
      <c r="F1" s="6"/>
      <c r="G1" s="6"/>
    </row>
    <row r="2" spans="1:7">
      <c r="A2" s="4">
        <v>9</v>
      </c>
      <c r="B2" s="4">
        <v>1</v>
      </c>
      <c r="C2" s="4">
        <v>19</v>
      </c>
      <c r="D2" s="4" t="str">
        <f>CONCATENATE("New Capacitor.B",A2)</f>
        <v>New Capacitor.B9</v>
      </c>
      <c r="E2" s="4" t="str">
        <f>CONCATENATE("Bus1=B",A2)</f>
        <v>Bus1=B9</v>
      </c>
      <c r="F2" s="4" t="str">
        <f>CONCATENATE("kV=",B2)</f>
        <v>kV=1</v>
      </c>
      <c r="G2" s="4" t="str">
        <f>CONCATENATE("kvar=",C2*1000)</f>
        <v>kvar=19000</v>
      </c>
    </row>
    <row r="4" spans="1:7">
      <c r="A4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Branch_Data</vt:lpstr>
      <vt:lpstr>Gen_Data</vt:lpstr>
      <vt:lpstr>Bus_Data</vt:lpstr>
      <vt:lpstr>Lines</vt:lpstr>
      <vt:lpstr>Generator</vt:lpstr>
      <vt:lpstr>Transformer</vt:lpstr>
      <vt:lpstr>Load</vt:lpstr>
      <vt:lpstr>Capacitor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SabiJ</cp:lastModifiedBy>
  <dcterms:modified xsi:type="dcterms:W3CDTF">2021-05-26T15:11:26Z</dcterms:modified>
</cp:coreProperties>
</file>